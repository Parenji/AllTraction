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4A933065-9594-EE45-95E7-54D9A052629A}" xr6:coauthVersionLast="47" xr6:coauthVersionMax="47" xr10:uidLastSave="{00000000-0000-0000-0000-000000000000}"/>
  <bookViews>
    <workbookView xWindow="9100" yWindow="500" windowWidth="24500" windowHeight="20500" activeTab="3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2" l="1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F23" i="12"/>
  <c r="B22" i="11" a="1"/>
  <c r="B22" i="11" s="1"/>
  <c r="B38" i="12"/>
  <c r="D38" i="12" s="1"/>
  <c r="B37" i="12"/>
  <c r="D37" i="12" s="1"/>
  <c r="B36" i="12"/>
  <c r="C36" i="12" s="1"/>
  <c r="B35" i="12"/>
  <c r="D35" i="12" s="1"/>
  <c r="D34" i="12"/>
  <c r="B34" i="12"/>
  <c r="C34" i="12" s="1"/>
  <c r="B33" i="12"/>
  <c r="D33" i="12" s="1"/>
  <c r="B32" i="12"/>
  <c r="D32" i="12" s="1"/>
  <c r="B31" i="12"/>
  <c r="C31" i="12" s="1"/>
  <c r="B30" i="12"/>
  <c r="D30" i="12" s="1"/>
  <c r="B29" i="12"/>
  <c r="C29" i="12" s="1"/>
  <c r="B28" i="12"/>
  <c r="C28" i="12" s="1"/>
  <c r="B27" i="12"/>
  <c r="C27" i="12" s="1"/>
  <c r="B26" i="12"/>
  <c r="C26" i="12" s="1"/>
  <c r="C25" i="12"/>
  <c r="B25" i="12"/>
  <c r="D25" i="12" s="1"/>
  <c r="B24" i="12"/>
  <c r="D24" i="12" s="1"/>
  <c r="D23" i="12"/>
  <c r="C23" i="12"/>
  <c r="B23" i="12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D44" i="1"/>
  <c r="E44" i="1"/>
  <c r="F44" i="1"/>
  <c r="G44" i="1"/>
  <c r="H44" i="1"/>
  <c r="I44" i="1"/>
  <c r="K44" i="1"/>
  <c r="L44" i="1"/>
  <c r="M44" i="1"/>
  <c r="N44" i="1"/>
  <c r="O44" i="1"/>
  <c r="P44" i="1"/>
  <c r="Q44" i="1"/>
  <c r="R44" i="1"/>
  <c r="S44" i="1"/>
  <c r="T44" i="1"/>
  <c r="U44" i="1"/>
  <c r="V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B22" i="6" a="1"/>
  <c r="F24" i="9" s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6" i="1"/>
  <c r="W7" i="1"/>
  <c r="B5" i="6" s="1" a="1"/>
  <c r="W8" i="1"/>
  <c r="W9" i="1"/>
  <c r="W46" i="1" s="1"/>
  <c r="W10" i="1"/>
  <c r="W11" i="1"/>
  <c r="W12" i="1"/>
  <c r="W13" i="1"/>
  <c r="W14" i="1"/>
  <c r="W15" i="1"/>
  <c r="W16" i="1"/>
  <c r="W17" i="1"/>
  <c r="W18" i="1"/>
  <c r="W19" i="1"/>
  <c r="W20" i="1"/>
  <c r="W5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58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B70" i="1"/>
  <c r="B71" i="1"/>
  <c r="B72" i="1"/>
  <c r="B73" i="1"/>
  <c r="B59" i="1"/>
  <c r="B60" i="1"/>
  <c r="B61" i="1"/>
  <c r="B62" i="1"/>
  <c r="B63" i="1"/>
  <c r="B64" i="1"/>
  <c r="B65" i="1"/>
  <c r="B66" i="1"/>
  <c r="B67" i="1"/>
  <c r="B68" i="1"/>
  <c r="B69" i="1"/>
  <c r="B58" i="1"/>
  <c r="B5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V36" i="1"/>
  <c r="R36" i="1"/>
  <c r="N36" i="1"/>
  <c r="J36" i="1"/>
  <c r="F36" i="1"/>
  <c r="V35" i="1"/>
  <c r="R35" i="1"/>
  <c r="N35" i="1"/>
  <c r="J35" i="1"/>
  <c r="F35" i="1"/>
  <c r="V34" i="1"/>
  <c r="R34" i="1"/>
  <c r="N34" i="1"/>
  <c r="J34" i="1"/>
  <c r="F34" i="1"/>
  <c r="V15" i="1"/>
  <c r="V16" i="1"/>
  <c r="V17" i="1"/>
  <c r="V18" i="1"/>
  <c r="V19" i="1"/>
  <c r="R17" i="1"/>
  <c r="R18" i="1"/>
  <c r="N15" i="1"/>
  <c r="N16" i="1"/>
  <c r="N17" i="1"/>
  <c r="N18" i="1"/>
  <c r="N19" i="1"/>
  <c r="J16" i="1"/>
  <c r="J17" i="1"/>
  <c r="J18" i="1"/>
  <c r="J19" i="1"/>
  <c r="F17" i="1"/>
  <c r="F18" i="1"/>
  <c r="V37" i="1"/>
  <c r="R37" i="1"/>
  <c r="N37" i="1"/>
  <c r="J37" i="1"/>
  <c r="F37" i="1"/>
  <c r="V33" i="1"/>
  <c r="R33" i="1"/>
  <c r="N33" i="1"/>
  <c r="J33" i="1"/>
  <c r="F33" i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V29" i="1"/>
  <c r="R29" i="1"/>
  <c r="N29" i="1"/>
  <c r="J29" i="1"/>
  <c r="F29" i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V25" i="1"/>
  <c r="R25" i="1"/>
  <c r="N25" i="1"/>
  <c r="J25" i="1"/>
  <c r="F25" i="1"/>
  <c r="V24" i="1"/>
  <c r="R24" i="1"/>
  <c r="N24" i="1"/>
  <c r="J24" i="1"/>
  <c r="F24" i="1"/>
  <c r="V23" i="1"/>
  <c r="R23" i="1"/>
  <c r="N23" i="1"/>
  <c r="J23" i="1"/>
  <c r="F23" i="1"/>
  <c r="V22" i="1"/>
  <c r="R22" i="1"/>
  <c r="N22" i="1"/>
  <c r="J22" i="1"/>
  <c r="F22" i="1"/>
  <c r="V20" i="1"/>
  <c r="V14" i="1"/>
  <c r="V13" i="1"/>
  <c r="V12" i="1"/>
  <c r="V11" i="1"/>
  <c r="V10" i="1"/>
  <c r="V9" i="1"/>
  <c r="V8" i="1"/>
  <c r="V7" i="1"/>
  <c r="V6" i="1"/>
  <c r="V5" i="1"/>
  <c r="R20" i="1"/>
  <c r="R19" i="1"/>
  <c r="R16" i="1"/>
  <c r="R15" i="1"/>
  <c r="R14" i="1"/>
  <c r="R13" i="1"/>
  <c r="R12" i="1"/>
  <c r="R11" i="1"/>
  <c r="R10" i="1"/>
  <c r="R9" i="1"/>
  <c r="R8" i="1"/>
  <c r="R7" i="1"/>
  <c r="R6" i="1"/>
  <c r="R5" i="1"/>
  <c r="N20" i="1"/>
  <c r="N14" i="1"/>
  <c r="N13" i="1"/>
  <c r="N12" i="1"/>
  <c r="N11" i="1"/>
  <c r="N10" i="1"/>
  <c r="N9" i="1"/>
  <c r="N8" i="1"/>
  <c r="N7" i="1"/>
  <c r="N6" i="1"/>
  <c r="N5" i="1"/>
  <c r="J20" i="1"/>
  <c r="J15" i="1"/>
  <c r="J14" i="1"/>
  <c r="J13" i="1"/>
  <c r="J12" i="1"/>
  <c r="J11" i="1"/>
  <c r="J10" i="1"/>
  <c r="J9" i="1"/>
  <c r="J8" i="1"/>
  <c r="J7" i="1"/>
  <c r="J44" i="1" s="1"/>
  <c r="J6" i="1"/>
  <c r="J5" i="1"/>
  <c r="F6" i="1"/>
  <c r="F7" i="1"/>
  <c r="F8" i="1"/>
  <c r="F9" i="1"/>
  <c r="F10" i="1"/>
  <c r="F11" i="1"/>
  <c r="F12" i="1"/>
  <c r="F13" i="1"/>
  <c r="F14" i="1"/>
  <c r="F15" i="1"/>
  <c r="F16" i="1"/>
  <c r="F19" i="1"/>
  <c r="F20" i="1"/>
  <c r="AY23" i="1"/>
  <c r="AX23" i="1"/>
  <c r="AT23" i="1"/>
  <c r="AP23" i="1"/>
  <c r="AL23" i="1"/>
  <c r="AH23" i="1"/>
  <c r="AD23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3" i="1"/>
  <c r="B42" i="1"/>
  <c r="F5" i="1"/>
  <c r="C43" i="1"/>
  <c r="C44" i="1"/>
  <c r="C42" i="1"/>
  <c r="W44" i="1" l="1"/>
  <c r="D26" i="12"/>
  <c r="D31" i="12"/>
  <c r="D36" i="12"/>
  <c r="D28" i="12"/>
  <c r="C33" i="12"/>
  <c r="D29" i="12"/>
  <c r="C24" i="12"/>
  <c r="C35" i="12"/>
  <c r="D27" i="12"/>
  <c r="C30" i="12"/>
  <c r="C38" i="12"/>
  <c r="C32" i="12"/>
  <c r="C37" i="12"/>
  <c r="B5" i="11" a="1"/>
  <c r="P57" i="6"/>
  <c r="H57" i="6"/>
  <c r="K7" i="9"/>
  <c r="R46" i="6"/>
  <c r="B21" i="12"/>
  <c r="E21" i="12" s="1"/>
  <c r="B18" i="12"/>
  <c r="E18" i="12" s="1"/>
  <c r="B15" i="12"/>
  <c r="E15" i="12" s="1"/>
  <c r="B11" i="12"/>
  <c r="E11" i="12" s="1"/>
  <c r="B7" i="12"/>
  <c r="E7" i="12" s="1"/>
  <c r="B20" i="12"/>
  <c r="E20" i="12" s="1"/>
  <c r="B19" i="12"/>
  <c r="E19" i="12" s="1"/>
  <c r="B17" i="12"/>
  <c r="E17" i="12" s="1"/>
  <c r="B8" i="12"/>
  <c r="E8" i="12" s="1"/>
  <c r="F47" i="6"/>
  <c r="J44" i="6"/>
  <c r="N47" i="6"/>
  <c r="R50" i="6"/>
  <c r="V53" i="6"/>
  <c r="S56" i="6"/>
  <c r="V57" i="6"/>
  <c r="V47" i="6"/>
  <c r="J54" i="6"/>
  <c r="W57" i="6"/>
  <c r="N51" i="6"/>
  <c r="F57" i="6"/>
  <c r="F55" i="6"/>
  <c r="R44" i="6"/>
  <c r="F51" i="6"/>
  <c r="T56" i="6"/>
  <c r="F45" i="6"/>
  <c r="R54" i="6"/>
  <c r="B44" i="6"/>
  <c r="G57" i="6"/>
  <c r="J48" i="6"/>
  <c r="N45" i="6"/>
  <c r="R48" i="6"/>
  <c r="V51" i="6"/>
  <c r="F43" i="6"/>
  <c r="J46" i="6"/>
  <c r="N49" i="6"/>
  <c r="R52" i="6"/>
  <c r="V55" i="6"/>
  <c r="N57" i="6"/>
  <c r="N43" i="6"/>
  <c r="V49" i="6"/>
  <c r="F53" i="6"/>
  <c r="J56" i="6"/>
  <c r="O57" i="6"/>
  <c r="B16" i="12"/>
  <c r="E16" i="12" s="1"/>
  <c r="B14" i="12"/>
  <c r="E14" i="12" s="1"/>
  <c r="B13" i="12"/>
  <c r="E13" i="12" s="1"/>
  <c r="B12" i="12"/>
  <c r="E12" i="12" s="1"/>
  <c r="B10" i="12"/>
  <c r="E10" i="12" s="1"/>
  <c r="B9" i="12"/>
  <c r="E9" i="12" s="1"/>
  <c r="V43" i="6"/>
  <c r="J50" i="6"/>
  <c r="N53" i="6"/>
  <c r="R56" i="6"/>
  <c r="N55" i="6"/>
  <c r="J52" i="6"/>
  <c r="F49" i="6"/>
  <c r="V45" i="6"/>
  <c r="K56" i="6"/>
  <c r="W55" i="6"/>
  <c r="O55" i="6"/>
  <c r="G55" i="6"/>
  <c r="S54" i="6"/>
  <c r="K54" i="6"/>
  <c r="W53" i="6"/>
  <c r="O53" i="6"/>
  <c r="G53" i="6"/>
  <c r="S52" i="6"/>
  <c r="K52" i="6"/>
  <c r="W51" i="6"/>
  <c r="O51" i="6"/>
  <c r="G51" i="6"/>
  <c r="S50" i="6"/>
  <c r="K50" i="6"/>
  <c r="W49" i="6"/>
  <c r="O49" i="6"/>
  <c r="G49" i="6"/>
  <c r="S48" i="6"/>
  <c r="K48" i="6"/>
  <c r="W47" i="6"/>
  <c r="O47" i="6"/>
  <c r="G47" i="6"/>
  <c r="S46" i="6"/>
  <c r="K46" i="6"/>
  <c r="W45" i="6"/>
  <c r="O45" i="6"/>
  <c r="G45" i="6"/>
  <c r="S44" i="6"/>
  <c r="K44" i="6"/>
  <c r="W43" i="6"/>
  <c r="O43" i="6"/>
  <c r="G43" i="6"/>
  <c r="S42" i="6"/>
  <c r="K42" i="6"/>
  <c r="B21" i="9"/>
  <c r="B13" i="9"/>
  <c r="W6" i="9"/>
  <c r="O6" i="9"/>
  <c r="G6" i="9"/>
  <c r="T21" i="9"/>
  <c r="L21" i="9"/>
  <c r="Y20" i="9"/>
  <c r="Q20" i="9"/>
  <c r="I20" i="9"/>
  <c r="V19" i="9"/>
  <c r="N19" i="9"/>
  <c r="F19" i="9"/>
  <c r="S18" i="9"/>
  <c r="K18" i="9"/>
  <c r="X17" i="9"/>
  <c r="P17" i="9"/>
  <c r="H17" i="9"/>
  <c r="U16" i="9"/>
  <c r="M16" i="9"/>
  <c r="Z15" i="9"/>
  <c r="R15" i="9"/>
  <c r="J15" i="9"/>
  <c r="W14" i="9"/>
  <c r="O14" i="9"/>
  <c r="G14" i="9"/>
  <c r="T13" i="9"/>
  <c r="L13" i="9"/>
  <c r="Y12" i="9"/>
  <c r="Q12" i="9"/>
  <c r="I12" i="9"/>
  <c r="V11" i="9"/>
  <c r="N11" i="9"/>
  <c r="F11" i="9"/>
  <c r="S10" i="9"/>
  <c r="K10" i="9"/>
  <c r="X9" i="9"/>
  <c r="P9" i="9"/>
  <c r="H9" i="9"/>
  <c r="U8" i="9"/>
  <c r="M8" i="9"/>
  <c r="Z7" i="9"/>
  <c r="R7" i="9"/>
  <c r="J7" i="9"/>
  <c r="B12" i="9"/>
  <c r="V6" i="9"/>
  <c r="N6" i="9"/>
  <c r="Z6" i="9"/>
  <c r="S21" i="9"/>
  <c r="K21" i="9"/>
  <c r="X20" i="9"/>
  <c r="P20" i="9"/>
  <c r="H20" i="9"/>
  <c r="U19" i="9"/>
  <c r="M19" i="9"/>
  <c r="Z18" i="9"/>
  <c r="R18" i="9"/>
  <c r="J18" i="9"/>
  <c r="W17" i="9"/>
  <c r="O17" i="9"/>
  <c r="G17" i="9"/>
  <c r="T16" i="9"/>
  <c r="L16" i="9"/>
  <c r="Y15" i="9"/>
  <c r="Q15" i="9"/>
  <c r="I15" i="9"/>
  <c r="V14" i="9"/>
  <c r="N14" i="9"/>
  <c r="F14" i="9"/>
  <c r="S13" i="9"/>
  <c r="K13" i="9"/>
  <c r="X12" i="9"/>
  <c r="P12" i="9"/>
  <c r="H12" i="9"/>
  <c r="U11" i="9"/>
  <c r="M11" i="9"/>
  <c r="Z10" i="9"/>
  <c r="R10" i="9"/>
  <c r="J10" i="9"/>
  <c r="W9" i="9"/>
  <c r="O9" i="9"/>
  <c r="G9" i="9"/>
  <c r="T8" i="9"/>
  <c r="L8" i="9"/>
  <c r="Y7" i="9"/>
  <c r="Q7" i="9"/>
  <c r="I7" i="9"/>
  <c r="R42" i="6"/>
  <c r="U57" i="6"/>
  <c r="M57" i="6"/>
  <c r="E57" i="6"/>
  <c r="Q56" i="6"/>
  <c r="I56" i="6"/>
  <c r="U55" i="6"/>
  <c r="M55" i="6"/>
  <c r="E55" i="6"/>
  <c r="Q54" i="6"/>
  <c r="I54" i="6"/>
  <c r="U53" i="6"/>
  <c r="M53" i="6"/>
  <c r="E53" i="6"/>
  <c r="Q52" i="6"/>
  <c r="I52" i="6"/>
  <c r="U51" i="6"/>
  <c r="M51" i="6"/>
  <c r="E51" i="6"/>
  <c r="Q50" i="6"/>
  <c r="I50" i="6"/>
  <c r="U49" i="6"/>
  <c r="M49" i="6"/>
  <c r="E49" i="6"/>
  <c r="Q48" i="6"/>
  <c r="I48" i="6"/>
  <c r="U47" i="6"/>
  <c r="M47" i="6"/>
  <c r="E47" i="6"/>
  <c r="Q46" i="6"/>
  <c r="I46" i="6"/>
  <c r="U45" i="6"/>
  <c r="M45" i="6"/>
  <c r="E45" i="6"/>
  <c r="Q44" i="6"/>
  <c r="I44" i="6"/>
  <c r="U43" i="6"/>
  <c r="M43" i="6"/>
  <c r="E43" i="6"/>
  <c r="Q42" i="6"/>
  <c r="I42" i="6"/>
  <c r="B19" i="9"/>
  <c r="B11" i="9"/>
  <c r="U6" i="9"/>
  <c r="M6" i="9"/>
  <c r="Z21" i="9"/>
  <c r="R21" i="9"/>
  <c r="J21" i="9"/>
  <c r="W20" i="9"/>
  <c r="O20" i="9"/>
  <c r="G20" i="9"/>
  <c r="T19" i="9"/>
  <c r="L19" i="9"/>
  <c r="Y18" i="9"/>
  <c r="Q18" i="9"/>
  <c r="I18" i="9"/>
  <c r="V17" i="9"/>
  <c r="N17" i="9"/>
  <c r="F17" i="9"/>
  <c r="S16" i="9"/>
  <c r="K16" i="9"/>
  <c r="X15" i="9"/>
  <c r="P15" i="9"/>
  <c r="H15" i="9"/>
  <c r="U14" i="9"/>
  <c r="M14" i="9"/>
  <c r="Z13" i="9"/>
  <c r="R13" i="9"/>
  <c r="J13" i="9"/>
  <c r="W12" i="9"/>
  <c r="O12" i="9"/>
  <c r="G12" i="9"/>
  <c r="T11" i="9"/>
  <c r="L11" i="9"/>
  <c r="Y10" i="9"/>
  <c r="Q10" i="9"/>
  <c r="I10" i="9"/>
  <c r="V9" i="9"/>
  <c r="N9" i="9"/>
  <c r="F9" i="9"/>
  <c r="S8" i="9"/>
  <c r="K8" i="9"/>
  <c r="X7" i="9"/>
  <c r="P7" i="9"/>
  <c r="H7" i="9"/>
  <c r="J42" i="6"/>
  <c r="T57" i="6"/>
  <c r="L57" i="6"/>
  <c r="D57" i="6"/>
  <c r="P56" i="6"/>
  <c r="H56" i="6"/>
  <c r="T55" i="6"/>
  <c r="L55" i="6"/>
  <c r="D55" i="6"/>
  <c r="P54" i="6"/>
  <c r="H54" i="6"/>
  <c r="T53" i="6"/>
  <c r="L53" i="6"/>
  <c r="D53" i="6"/>
  <c r="P52" i="6"/>
  <c r="H52" i="6"/>
  <c r="T51" i="6"/>
  <c r="L51" i="6"/>
  <c r="D51" i="6"/>
  <c r="P50" i="6"/>
  <c r="H50" i="6"/>
  <c r="T49" i="6"/>
  <c r="L49" i="6"/>
  <c r="D49" i="6"/>
  <c r="P48" i="6"/>
  <c r="H48" i="6"/>
  <c r="T47" i="6"/>
  <c r="L47" i="6"/>
  <c r="D47" i="6"/>
  <c r="P46" i="6"/>
  <c r="H46" i="6"/>
  <c r="T45" i="6"/>
  <c r="L45" i="6"/>
  <c r="D45" i="6"/>
  <c r="P44" i="6"/>
  <c r="H44" i="6"/>
  <c r="T43" i="6"/>
  <c r="L43" i="6"/>
  <c r="D43" i="6"/>
  <c r="P42" i="6"/>
  <c r="H42" i="6"/>
  <c r="B18" i="9"/>
  <c r="B10" i="9"/>
  <c r="T6" i="9"/>
  <c r="L6" i="9"/>
  <c r="Y21" i="9"/>
  <c r="Q21" i="9"/>
  <c r="I21" i="9"/>
  <c r="V20" i="9"/>
  <c r="N20" i="9"/>
  <c r="F20" i="9"/>
  <c r="S19" i="9"/>
  <c r="K19" i="9"/>
  <c r="X18" i="9"/>
  <c r="P18" i="9"/>
  <c r="H18" i="9"/>
  <c r="U17" i="9"/>
  <c r="M17" i="9"/>
  <c r="Z16" i="9"/>
  <c r="R16" i="9"/>
  <c r="J16" i="9"/>
  <c r="W15" i="9"/>
  <c r="O15" i="9"/>
  <c r="G15" i="9"/>
  <c r="T14" i="9"/>
  <c r="L14" i="9"/>
  <c r="Y13" i="9"/>
  <c r="Q13" i="9"/>
  <c r="I13" i="9"/>
  <c r="V12" i="9"/>
  <c r="N12" i="9"/>
  <c r="F12" i="9"/>
  <c r="S11" i="9"/>
  <c r="K11" i="9"/>
  <c r="X10" i="9"/>
  <c r="P10" i="9"/>
  <c r="H10" i="9"/>
  <c r="U9" i="9"/>
  <c r="M9" i="9"/>
  <c r="Z8" i="9"/>
  <c r="R8" i="9"/>
  <c r="J8" i="9"/>
  <c r="W7" i="9"/>
  <c r="O7" i="9"/>
  <c r="G7" i="9"/>
  <c r="B20" i="9"/>
  <c r="S57" i="6"/>
  <c r="K57" i="6"/>
  <c r="W56" i="6"/>
  <c r="O56" i="6"/>
  <c r="G56" i="6"/>
  <c r="S55" i="6"/>
  <c r="K55" i="6"/>
  <c r="W54" i="6"/>
  <c r="O54" i="6"/>
  <c r="G54" i="6"/>
  <c r="S53" i="6"/>
  <c r="K53" i="6"/>
  <c r="W52" i="6"/>
  <c r="O52" i="6"/>
  <c r="G52" i="6"/>
  <c r="S51" i="6"/>
  <c r="K51" i="6"/>
  <c r="W50" i="6"/>
  <c r="O50" i="6"/>
  <c r="G50" i="6"/>
  <c r="S49" i="6"/>
  <c r="K49" i="6"/>
  <c r="W48" i="6"/>
  <c r="O48" i="6"/>
  <c r="G48" i="6"/>
  <c r="S47" i="6"/>
  <c r="K47" i="6"/>
  <c r="W46" i="6"/>
  <c r="O46" i="6"/>
  <c r="G46" i="6"/>
  <c r="S45" i="6"/>
  <c r="K45" i="6"/>
  <c r="W44" i="6"/>
  <c r="O44" i="6"/>
  <c r="G44" i="6"/>
  <c r="S43" i="6"/>
  <c r="K43" i="6"/>
  <c r="W42" i="6"/>
  <c r="O42" i="6"/>
  <c r="G42" i="6"/>
  <c r="B17" i="9"/>
  <c r="B9" i="9"/>
  <c r="E9" i="9" s="1"/>
  <c r="S6" i="9"/>
  <c r="K6" i="9"/>
  <c r="X21" i="9"/>
  <c r="P21" i="9"/>
  <c r="H21" i="9"/>
  <c r="U20" i="9"/>
  <c r="M20" i="9"/>
  <c r="Z19" i="9"/>
  <c r="R19" i="9"/>
  <c r="J19" i="9"/>
  <c r="W18" i="9"/>
  <c r="O18" i="9"/>
  <c r="G18" i="9"/>
  <c r="T17" i="9"/>
  <c r="L17" i="9"/>
  <c r="Y16" i="9"/>
  <c r="Q16" i="9"/>
  <c r="I16" i="9"/>
  <c r="V15" i="9"/>
  <c r="N15" i="9"/>
  <c r="F15" i="9"/>
  <c r="S14" i="9"/>
  <c r="K14" i="9"/>
  <c r="X13" i="9"/>
  <c r="P13" i="9"/>
  <c r="H13" i="9"/>
  <c r="U12" i="9"/>
  <c r="M12" i="9"/>
  <c r="Z11" i="9"/>
  <c r="R11" i="9"/>
  <c r="J11" i="9"/>
  <c r="W10" i="9"/>
  <c r="O10" i="9"/>
  <c r="G10" i="9"/>
  <c r="T9" i="9"/>
  <c r="L9" i="9"/>
  <c r="Y8" i="9"/>
  <c r="Q8" i="9"/>
  <c r="I8" i="9"/>
  <c r="V7" i="9"/>
  <c r="N7" i="9"/>
  <c r="F7" i="9"/>
  <c r="R57" i="6"/>
  <c r="J57" i="6"/>
  <c r="V56" i="6"/>
  <c r="N56" i="6"/>
  <c r="F56" i="6"/>
  <c r="R55" i="6"/>
  <c r="J55" i="6"/>
  <c r="V54" i="6"/>
  <c r="N54" i="6"/>
  <c r="F54" i="6"/>
  <c r="R53" i="6"/>
  <c r="J53" i="6"/>
  <c r="V52" i="6"/>
  <c r="N52" i="6"/>
  <c r="F52" i="6"/>
  <c r="R51" i="6"/>
  <c r="J51" i="6"/>
  <c r="V50" i="6"/>
  <c r="N50" i="6"/>
  <c r="F50" i="6"/>
  <c r="R49" i="6"/>
  <c r="J49" i="6"/>
  <c r="V48" i="6"/>
  <c r="N48" i="6"/>
  <c r="F48" i="6"/>
  <c r="J47" i="6"/>
  <c r="V46" i="6"/>
  <c r="N46" i="6"/>
  <c r="F46" i="6"/>
  <c r="R45" i="6"/>
  <c r="J45" i="6"/>
  <c r="V44" i="6"/>
  <c r="N44" i="6"/>
  <c r="F44" i="6"/>
  <c r="R43" i="6"/>
  <c r="J43" i="6"/>
  <c r="V42" i="6"/>
  <c r="N42" i="6"/>
  <c r="F42" i="6"/>
  <c r="B16" i="9"/>
  <c r="R6" i="9"/>
  <c r="J6" i="9"/>
  <c r="W21" i="9"/>
  <c r="O21" i="9"/>
  <c r="G21" i="9"/>
  <c r="T20" i="9"/>
  <c r="L20" i="9"/>
  <c r="Y19" i="9"/>
  <c r="Q19" i="9"/>
  <c r="I19" i="9"/>
  <c r="V18" i="9"/>
  <c r="N18" i="9"/>
  <c r="F18" i="9"/>
  <c r="S17" i="9"/>
  <c r="K17" i="9"/>
  <c r="X16" i="9"/>
  <c r="P16" i="9"/>
  <c r="H16" i="9"/>
  <c r="U15" i="9"/>
  <c r="M15" i="9"/>
  <c r="Z14" i="9"/>
  <c r="R14" i="9"/>
  <c r="J14" i="9"/>
  <c r="W13" i="9"/>
  <c r="O13" i="9"/>
  <c r="G13" i="9"/>
  <c r="T12" i="9"/>
  <c r="L12" i="9"/>
  <c r="Y11" i="9"/>
  <c r="Q11" i="9"/>
  <c r="I11" i="9"/>
  <c r="V10" i="9"/>
  <c r="N10" i="9"/>
  <c r="F10" i="9"/>
  <c r="S9" i="9"/>
  <c r="K9" i="9"/>
  <c r="X8" i="9"/>
  <c r="P8" i="9"/>
  <c r="H8" i="9"/>
  <c r="U7" i="9"/>
  <c r="M7" i="9"/>
  <c r="R47" i="6"/>
  <c r="Q57" i="6"/>
  <c r="I57" i="6"/>
  <c r="U56" i="6"/>
  <c r="M56" i="6"/>
  <c r="E56" i="6"/>
  <c r="Q55" i="6"/>
  <c r="I55" i="6"/>
  <c r="U54" i="6"/>
  <c r="M54" i="6"/>
  <c r="E54" i="6"/>
  <c r="Q53" i="6"/>
  <c r="I53" i="6"/>
  <c r="U52" i="6"/>
  <c r="M52" i="6"/>
  <c r="E52" i="6"/>
  <c r="Q51" i="6"/>
  <c r="I51" i="6"/>
  <c r="U50" i="6"/>
  <c r="M50" i="6"/>
  <c r="E50" i="6"/>
  <c r="Q49" i="6"/>
  <c r="I49" i="6"/>
  <c r="U48" i="6"/>
  <c r="M48" i="6"/>
  <c r="E48" i="6"/>
  <c r="Q47" i="6"/>
  <c r="I47" i="6"/>
  <c r="U46" i="6"/>
  <c r="M46" i="6"/>
  <c r="E46" i="6"/>
  <c r="Q45" i="6"/>
  <c r="I45" i="6"/>
  <c r="U44" i="6"/>
  <c r="M44" i="6"/>
  <c r="E44" i="6"/>
  <c r="Q43" i="6"/>
  <c r="I43" i="6"/>
  <c r="U42" i="6"/>
  <c r="M42" i="6"/>
  <c r="E42" i="6"/>
  <c r="B15" i="9"/>
  <c r="Y6" i="9"/>
  <c r="Q6" i="9"/>
  <c r="I6" i="9"/>
  <c r="V21" i="9"/>
  <c r="N21" i="9"/>
  <c r="F21" i="9"/>
  <c r="S20" i="9"/>
  <c r="K20" i="9"/>
  <c r="X19" i="9"/>
  <c r="P19" i="9"/>
  <c r="H19" i="9"/>
  <c r="U18" i="9"/>
  <c r="M18" i="9"/>
  <c r="Z17" i="9"/>
  <c r="R17" i="9"/>
  <c r="J17" i="9"/>
  <c r="W16" i="9"/>
  <c r="O16" i="9"/>
  <c r="G16" i="9"/>
  <c r="T15" i="9"/>
  <c r="L15" i="9"/>
  <c r="Y14" i="9"/>
  <c r="Q14" i="9"/>
  <c r="I14" i="9"/>
  <c r="V13" i="9"/>
  <c r="N13" i="9"/>
  <c r="F13" i="9"/>
  <c r="S12" i="9"/>
  <c r="K12" i="9"/>
  <c r="X11" i="9"/>
  <c r="P11" i="9"/>
  <c r="H11" i="9"/>
  <c r="U10" i="9"/>
  <c r="M10" i="9"/>
  <c r="Z9" i="9"/>
  <c r="R9" i="9"/>
  <c r="J9" i="9"/>
  <c r="W8" i="9"/>
  <c r="O8" i="9"/>
  <c r="G8" i="9"/>
  <c r="T7" i="9"/>
  <c r="L7" i="9"/>
  <c r="L56" i="6"/>
  <c r="D56" i="6"/>
  <c r="P55" i="6"/>
  <c r="H55" i="6"/>
  <c r="T54" i="6"/>
  <c r="L54" i="6"/>
  <c r="D54" i="6"/>
  <c r="P53" i="6"/>
  <c r="H53" i="6"/>
  <c r="T52" i="6"/>
  <c r="L52" i="6"/>
  <c r="D52" i="6"/>
  <c r="P51" i="6"/>
  <c r="H51" i="6"/>
  <c r="T50" i="6"/>
  <c r="L50" i="6"/>
  <c r="D50" i="6"/>
  <c r="P49" i="6"/>
  <c r="H49" i="6"/>
  <c r="T48" i="6"/>
  <c r="L48" i="6"/>
  <c r="D48" i="6"/>
  <c r="P47" i="6"/>
  <c r="H47" i="6"/>
  <c r="T46" i="6"/>
  <c r="L46" i="6"/>
  <c r="D46" i="6"/>
  <c r="P45" i="6"/>
  <c r="H45" i="6"/>
  <c r="T44" i="6"/>
  <c r="L44" i="6"/>
  <c r="D44" i="6"/>
  <c r="P43" i="6"/>
  <c r="H43" i="6"/>
  <c r="T42" i="6"/>
  <c r="L42" i="6"/>
  <c r="D42" i="6"/>
  <c r="B14" i="9"/>
  <c r="X6" i="9"/>
  <c r="P6" i="9"/>
  <c r="H6" i="9"/>
  <c r="U21" i="9"/>
  <c r="M21" i="9"/>
  <c r="Z20" i="9"/>
  <c r="R20" i="9"/>
  <c r="J20" i="9"/>
  <c r="W19" i="9"/>
  <c r="O19" i="9"/>
  <c r="G19" i="9"/>
  <c r="T18" i="9"/>
  <c r="L18" i="9"/>
  <c r="Y17" i="9"/>
  <c r="Q17" i="9"/>
  <c r="I17" i="9"/>
  <c r="V16" i="9"/>
  <c r="N16" i="9"/>
  <c r="F16" i="9"/>
  <c r="S15" i="9"/>
  <c r="K15" i="9"/>
  <c r="X14" i="9"/>
  <c r="P14" i="9"/>
  <c r="H14" i="9"/>
  <c r="U13" i="9"/>
  <c r="M13" i="9"/>
  <c r="Z12" i="9"/>
  <c r="R12" i="9"/>
  <c r="J12" i="9"/>
  <c r="W11" i="9"/>
  <c r="O11" i="9"/>
  <c r="G11" i="9"/>
  <c r="T10" i="9"/>
  <c r="L10" i="9"/>
  <c r="Y9" i="9"/>
  <c r="Q9" i="9"/>
  <c r="I9" i="9"/>
  <c r="V8" i="9"/>
  <c r="N8" i="9"/>
  <c r="F8" i="9"/>
  <c r="S7" i="9"/>
  <c r="M73" i="6"/>
  <c r="T72" i="6"/>
  <c r="G72" i="6"/>
  <c r="N71" i="6"/>
  <c r="V70" i="6"/>
  <c r="I70" i="6"/>
  <c r="P69" i="6"/>
  <c r="W68" i="6"/>
  <c r="J68" i="6"/>
  <c r="R67" i="6"/>
  <c r="E67" i="6"/>
  <c r="L66" i="6"/>
  <c r="S65" i="6"/>
  <c r="F65" i="6"/>
  <c r="N64" i="6"/>
  <c r="U63" i="6"/>
  <c r="H63" i="6"/>
  <c r="O62" i="6"/>
  <c r="V61" i="6"/>
  <c r="J61" i="6"/>
  <c r="Q60" i="6"/>
  <c r="D60" i="6"/>
  <c r="K59" i="6"/>
  <c r="R58" i="6"/>
  <c r="V72" i="6"/>
  <c r="F67" i="6"/>
  <c r="F60" i="6"/>
  <c r="Q58" i="6"/>
  <c r="N67" i="6"/>
  <c r="F61" i="6"/>
  <c r="O58" i="6"/>
  <c r="R69" i="6"/>
  <c r="O64" i="6"/>
  <c r="R60" i="6"/>
  <c r="N58" i="6"/>
  <c r="N73" i="6"/>
  <c r="J70" i="6"/>
  <c r="S67" i="6"/>
  <c r="H65" i="6"/>
  <c r="Q62" i="6"/>
  <c r="M59" i="6"/>
  <c r="F72" i="6"/>
  <c r="G70" i="6"/>
  <c r="I68" i="6"/>
  <c r="J66" i="6"/>
  <c r="L64" i="6"/>
  <c r="N62" i="6"/>
  <c r="O60" i="6"/>
  <c r="V73" i="6"/>
  <c r="K71" i="6"/>
  <c r="M69" i="6"/>
  <c r="I66" i="6"/>
  <c r="U59" i="6"/>
  <c r="H73" i="6"/>
  <c r="V71" i="6"/>
  <c r="K69" i="6"/>
  <c r="M67" i="6"/>
  <c r="G66" i="6"/>
  <c r="I64" i="6"/>
  <c r="J62" i="6"/>
  <c r="L60" i="6"/>
  <c r="S73" i="6"/>
  <c r="F73" i="6"/>
  <c r="N72" i="6"/>
  <c r="U71" i="6"/>
  <c r="H71" i="6"/>
  <c r="O70" i="6"/>
  <c r="V69" i="6"/>
  <c r="J69" i="6"/>
  <c r="Q68" i="6"/>
  <c r="D68" i="6"/>
  <c r="K67" i="6"/>
  <c r="R66" i="6"/>
  <c r="F66" i="6"/>
  <c r="M65" i="6"/>
  <c r="T64" i="6"/>
  <c r="G64" i="6"/>
  <c r="N63" i="6"/>
  <c r="V62" i="6"/>
  <c r="I62" i="6"/>
  <c r="P61" i="6"/>
  <c r="W60" i="6"/>
  <c r="J60" i="6"/>
  <c r="R59" i="6"/>
  <c r="E59" i="6"/>
  <c r="L58" i="6"/>
  <c r="I72" i="6"/>
  <c r="W70" i="6"/>
  <c r="E69" i="6"/>
  <c r="N66" i="6"/>
  <c r="V63" i="6"/>
  <c r="D62" i="6"/>
  <c r="T58" i="6"/>
  <c r="R72" i="6"/>
  <c r="T70" i="6"/>
  <c r="V68" i="6"/>
  <c r="W66" i="6"/>
  <c r="R65" i="6"/>
  <c r="S63" i="6"/>
  <c r="U61" i="6"/>
  <c r="H61" i="6"/>
  <c r="J59" i="6"/>
  <c r="Q72" i="6"/>
  <c r="F70" i="6"/>
  <c r="G68" i="6"/>
  <c r="P65" i="6"/>
  <c r="J64" i="6"/>
  <c r="L62" i="6"/>
  <c r="H59" i="6"/>
  <c r="U73" i="6"/>
  <c r="O72" i="6"/>
  <c r="Q70" i="6"/>
  <c r="F68" i="6"/>
  <c r="N65" i="6"/>
  <c r="P63" i="6"/>
  <c r="R61" i="6"/>
  <c r="F59" i="6"/>
  <c r="R73" i="6"/>
  <c r="E73" i="6"/>
  <c r="L72" i="6"/>
  <c r="S71" i="6"/>
  <c r="F71" i="6"/>
  <c r="N70" i="6"/>
  <c r="U69" i="6"/>
  <c r="H69" i="6"/>
  <c r="O68" i="6"/>
  <c r="V67" i="6"/>
  <c r="J67" i="6"/>
  <c r="Q66" i="6"/>
  <c r="D66" i="6"/>
  <c r="K65" i="6"/>
  <c r="R64" i="6"/>
  <c r="F64" i="6"/>
  <c r="M63" i="6"/>
  <c r="T62" i="6"/>
  <c r="G62" i="6"/>
  <c r="N61" i="6"/>
  <c r="V60" i="6"/>
  <c r="I60" i="6"/>
  <c r="P59" i="6"/>
  <c r="W58" i="6"/>
  <c r="I58" i="6"/>
  <c r="P71" i="6"/>
  <c r="L68" i="6"/>
  <c r="U65" i="6"/>
  <c r="J63" i="6"/>
  <c r="K61" i="6"/>
  <c r="K73" i="6"/>
  <c r="M71" i="6"/>
  <c r="N69" i="6"/>
  <c r="P67" i="6"/>
  <c r="E65" i="6"/>
  <c r="F63" i="6"/>
  <c r="V59" i="6"/>
  <c r="J73" i="6"/>
  <c r="D72" i="6"/>
  <c r="R70" i="6"/>
  <c r="T68" i="6"/>
  <c r="V66" i="6"/>
  <c r="W64" i="6"/>
  <c r="R63" i="6"/>
  <c r="E63" i="6"/>
  <c r="S61" i="6"/>
  <c r="N60" i="6"/>
  <c r="J71" i="6"/>
  <c r="D70" i="6"/>
  <c r="R68" i="6"/>
  <c r="T66" i="6"/>
  <c r="V64" i="6"/>
  <c r="W62" i="6"/>
  <c r="E61" i="6"/>
  <c r="S59" i="6"/>
  <c r="P73" i="6"/>
  <c r="W72" i="6"/>
  <c r="J72" i="6"/>
  <c r="R71" i="6"/>
  <c r="E71" i="6"/>
  <c r="L70" i="6"/>
  <c r="S69" i="6"/>
  <c r="F69" i="6"/>
  <c r="N68" i="6"/>
  <c r="U67" i="6"/>
  <c r="H67" i="6"/>
  <c r="O66" i="6"/>
  <c r="V65" i="6"/>
  <c r="J65" i="6"/>
  <c r="Q64" i="6"/>
  <c r="D64" i="6"/>
  <c r="K63" i="6"/>
  <c r="R62" i="6"/>
  <c r="F62" i="6"/>
  <c r="M61" i="6"/>
  <c r="T60" i="6"/>
  <c r="G60" i="6"/>
  <c r="N59" i="6"/>
  <c r="V58" i="6"/>
  <c r="D58" i="6"/>
  <c r="B37" i="9"/>
  <c r="D37" i="9" s="1"/>
  <c r="B30" i="9"/>
  <c r="C30" i="9" s="1"/>
  <c r="F23" i="9"/>
  <c r="S23" i="9"/>
  <c r="K23" i="9"/>
  <c r="W38" i="9"/>
  <c r="O38" i="9"/>
  <c r="G38" i="9"/>
  <c r="T37" i="9"/>
  <c r="L37" i="9"/>
  <c r="Y36" i="9"/>
  <c r="Q36" i="9"/>
  <c r="I36" i="9"/>
  <c r="V35" i="9"/>
  <c r="N35" i="9"/>
  <c r="F35" i="9"/>
  <c r="S34" i="9"/>
  <c r="K34" i="9"/>
  <c r="X33" i="9"/>
  <c r="H33" i="9"/>
  <c r="U32" i="9"/>
  <c r="M32" i="9"/>
  <c r="Z31" i="9"/>
  <c r="R31" i="9"/>
  <c r="J31" i="9"/>
  <c r="W30" i="9"/>
  <c r="O30" i="9"/>
  <c r="G30" i="9"/>
  <c r="T29" i="9"/>
  <c r="L29" i="9"/>
  <c r="Y28" i="9"/>
  <c r="Q28" i="9"/>
  <c r="I28" i="9"/>
  <c r="V27" i="9"/>
  <c r="N27" i="9"/>
  <c r="F27" i="9"/>
  <c r="S26" i="9"/>
  <c r="K26" i="9"/>
  <c r="X25" i="9"/>
  <c r="P25" i="9"/>
  <c r="H25" i="9"/>
  <c r="U24" i="9"/>
  <c r="M24" i="9"/>
  <c r="P33" i="9"/>
  <c r="W73" i="6"/>
  <c r="O73" i="6"/>
  <c r="G73" i="6"/>
  <c r="S72" i="6"/>
  <c r="K72" i="6"/>
  <c r="W71" i="6"/>
  <c r="O71" i="6"/>
  <c r="G71" i="6"/>
  <c r="S70" i="6"/>
  <c r="K70" i="6"/>
  <c r="W69" i="6"/>
  <c r="O69" i="6"/>
  <c r="G69" i="6"/>
  <c r="S68" i="6"/>
  <c r="K68" i="6"/>
  <c r="W67" i="6"/>
  <c r="O67" i="6"/>
  <c r="G67" i="6"/>
  <c r="S66" i="6"/>
  <c r="K66" i="6"/>
  <c r="W65" i="6"/>
  <c r="O65" i="6"/>
  <c r="G65" i="6"/>
  <c r="S64" i="6"/>
  <c r="K64" i="6"/>
  <c r="W63" i="6"/>
  <c r="O63" i="6"/>
  <c r="G63" i="6"/>
  <c r="S62" i="6"/>
  <c r="K62" i="6"/>
  <c r="W61" i="6"/>
  <c r="O61" i="6"/>
  <c r="G61" i="6"/>
  <c r="S60" i="6"/>
  <c r="K60" i="6"/>
  <c r="W59" i="6"/>
  <c r="O59" i="6"/>
  <c r="G59" i="6"/>
  <c r="S58" i="6"/>
  <c r="K58" i="6"/>
  <c r="B36" i="9"/>
  <c r="C36" i="9" s="1"/>
  <c r="B29" i="9"/>
  <c r="D29" i="9" s="1"/>
  <c r="Z23" i="9"/>
  <c r="R23" i="9"/>
  <c r="J23" i="9"/>
  <c r="V38" i="9"/>
  <c r="N38" i="9"/>
  <c r="F38" i="9"/>
  <c r="S37" i="9"/>
  <c r="K37" i="9"/>
  <c r="X36" i="9"/>
  <c r="P36" i="9"/>
  <c r="H36" i="9"/>
  <c r="U35" i="9"/>
  <c r="M35" i="9"/>
  <c r="Z34" i="9"/>
  <c r="R34" i="9"/>
  <c r="J34" i="9"/>
  <c r="W33" i="9"/>
  <c r="O33" i="9"/>
  <c r="G33" i="9"/>
  <c r="T32" i="9"/>
  <c r="L32" i="9"/>
  <c r="Y31" i="9"/>
  <c r="Q31" i="9"/>
  <c r="I31" i="9"/>
  <c r="V30" i="9"/>
  <c r="N30" i="9"/>
  <c r="F30" i="9"/>
  <c r="S29" i="9"/>
  <c r="K29" i="9"/>
  <c r="X28" i="9"/>
  <c r="P28" i="9"/>
  <c r="H28" i="9"/>
  <c r="U27" i="9"/>
  <c r="M27" i="9"/>
  <c r="Z26" i="9"/>
  <c r="R26" i="9"/>
  <c r="J26" i="9"/>
  <c r="W25" i="9"/>
  <c r="O25" i="9"/>
  <c r="G25" i="9"/>
  <c r="T24" i="9"/>
  <c r="L24" i="9"/>
  <c r="J58" i="6"/>
  <c r="B35" i="9"/>
  <c r="C35" i="9" s="1"/>
  <c r="B28" i="9"/>
  <c r="C28" i="9" s="1"/>
  <c r="Y23" i="9"/>
  <c r="Q23" i="9"/>
  <c r="I23" i="9"/>
  <c r="U38" i="9"/>
  <c r="M38" i="9"/>
  <c r="Z37" i="9"/>
  <c r="R37" i="9"/>
  <c r="J37" i="9"/>
  <c r="W36" i="9"/>
  <c r="O36" i="9"/>
  <c r="G36" i="9"/>
  <c r="T35" i="9"/>
  <c r="L35" i="9"/>
  <c r="Y34" i="9"/>
  <c r="Q34" i="9"/>
  <c r="I34" i="9"/>
  <c r="V33" i="9"/>
  <c r="N33" i="9"/>
  <c r="F33" i="9"/>
  <c r="S32" i="9"/>
  <c r="K32" i="9"/>
  <c r="X31" i="9"/>
  <c r="P31" i="9"/>
  <c r="H31" i="9"/>
  <c r="U30" i="9"/>
  <c r="M30" i="9"/>
  <c r="Z29" i="9"/>
  <c r="R29" i="9"/>
  <c r="J29" i="9"/>
  <c r="W28" i="9"/>
  <c r="O28" i="9"/>
  <c r="G28" i="9"/>
  <c r="T27" i="9"/>
  <c r="L27" i="9"/>
  <c r="Y26" i="9"/>
  <c r="Q26" i="9"/>
  <c r="I26" i="9"/>
  <c r="V25" i="9"/>
  <c r="N25" i="9"/>
  <c r="F25" i="9"/>
  <c r="S24" i="9"/>
  <c r="K24" i="9"/>
  <c r="B34" i="9"/>
  <c r="C34" i="9" s="1"/>
  <c r="B27" i="9"/>
  <c r="C27" i="9" s="1"/>
  <c r="X23" i="9"/>
  <c r="P23" i="9"/>
  <c r="H23" i="9"/>
  <c r="T38" i="9"/>
  <c r="L38" i="9"/>
  <c r="Y37" i="9"/>
  <c r="Q37" i="9"/>
  <c r="I37" i="9"/>
  <c r="V36" i="9"/>
  <c r="N36" i="9"/>
  <c r="F36" i="9"/>
  <c r="S35" i="9"/>
  <c r="K35" i="9"/>
  <c r="X34" i="9"/>
  <c r="P34" i="9"/>
  <c r="H34" i="9"/>
  <c r="U33" i="9"/>
  <c r="M33" i="9"/>
  <c r="Z32" i="9"/>
  <c r="R32" i="9"/>
  <c r="J32" i="9"/>
  <c r="W31" i="9"/>
  <c r="O31" i="9"/>
  <c r="G31" i="9"/>
  <c r="T30" i="9"/>
  <c r="L30" i="9"/>
  <c r="Y29" i="9"/>
  <c r="Q29" i="9"/>
  <c r="I29" i="9"/>
  <c r="V28" i="9"/>
  <c r="N28" i="9"/>
  <c r="F28" i="9"/>
  <c r="S27" i="9"/>
  <c r="K27" i="9"/>
  <c r="X26" i="9"/>
  <c r="P26" i="9"/>
  <c r="H26" i="9"/>
  <c r="U25" i="9"/>
  <c r="M25" i="9"/>
  <c r="Z24" i="9"/>
  <c r="R24" i="9"/>
  <c r="J24" i="9"/>
  <c r="T73" i="6"/>
  <c r="L73" i="6"/>
  <c r="D73" i="6"/>
  <c r="P72" i="6"/>
  <c r="S46" i="9" s="1"/>
  <c r="H72" i="6"/>
  <c r="K46" i="9" s="1"/>
  <c r="T71" i="6"/>
  <c r="W45" i="9" s="1"/>
  <c r="L71" i="6"/>
  <c r="D71" i="6"/>
  <c r="P70" i="6"/>
  <c r="H70" i="6"/>
  <c r="T69" i="6"/>
  <c r="W43" i="9" s="1"/>
  <c r="L69" i="6"/>
  <c r="D69" i="6"/>
  <c r="P68" i="6"/>
  <c r="S42" i="9" s="1"/>
  <c r="H68" i="6"/>
  <c r="T67" i="6"/>
  <c r="L67" i="6"/>
  <c r="D67" i="6"/>
  <c r="P66" i="6"/>
  <c r="H66" i="6"/>
  <c r="T65" i="6"/>
  <c r="L65" i="6"/>
  <c r="D65" i="6"/>
  <c r="P64" i="6"/>
  <c r="H64" i="6"/>
  <c r="T63" i="6"/>
  <c r="L63" i="6"/>
  <c r="D63" i="6"/>
  <c r="P62" i="6"/>
  <c r="H62" i="6"/>
  <c r="T61" i="6"/>
  <c r="L61" i="6"/>
  <c r="D61" i="6"/>
  <c r="P60" i="6"/>
  <c r="H60" i="6"/>
  <c r="T59" i="6"/>
  <c r="L59" i="6"/>
  <c r="D59" i="6"/>
  <c r="P58" i="6"/>
  <c r="H58" i="6"/>
  <c r="B26" i="9"/>
  <c r="C26" i="9" s="1"/>
  <c r="W23" i="9"/>
  <c r="O23" i="9"/>
  <c r="G23" i="9"/>
  <c r="S38" i="9"/>
  <c r="K38" i="9"/>
  <c r="X37" i="9"/>
  <c r="P37" i="9"/>
  <c r="H37" i="9"/>
  <c r="U36" i="9"/>
  <c r="M36" i="9"/>
  <c r="Z35" i="9"/>
  <c r="R35" i="9"/>
  <c r="J35" i="9"/>
  <c r="W34" i="9"/>
  <c r="O34" i="9"/>
  <c r="G34" i="9"/>
  <c r="T33" i="9"/>
  <c r="L33" i="9"/>
  <c r="Y32" i="9"/>
  <c r="Q32" i="9"/>
  <c r="I32" i="9"/>
  <c r="V31" i="9"/>
  <c r="N31" i="9"/>
  <c r="F31" i="9"/>
  <c r="S30" i="9"/>
  <c r="K30" i="9"/>
  <c r="X29" i="9"/>
  <c r="P29" i="9"/>
  <c r="H29" i="9"/>
  <c r="U28" i="9"/>
  <c r="M28" i="9"/>
  <c r="Z27" i="9"/>
  <c r="R27" i="9"/>
  <c r="J27" i="9"/>
  <c r="W26" i="9"/>
  <c r="O26" i="9"/>
  <c r="G26" i="9"/>
  <c r="T25" i="9"/>
  <c r="L25" i="9"/>
  <c r="Y24" i="9"/>
  <c r="Q24" i="9"/>
  <c r="I24" i="9"/>
  <c r="G58" i="6"/>
  <c r="B33" i="9"/>
  <c r="B25" i="9"/>
  <c r="D25" i="9" s="1"/>
  <c r="V23" i="9"/>
  <c r="N23" i="9"/>
  <c r="Z38" i="9"/>
  <c r="R38" i="9"/>
  <c r="J38" i="9"/>
  <c r="W37" i="9"/>
  <c r="O37" i="9"/>
  <c r="G37" i="9"/>
  <c r="T36" i="9"/>
  <c r="L36" i="9"/>
  <c r="Y35" i="9"/>
  <c r="Q35" i="9"/>
  <c r="I35" i="9"/>
  <c r="V34" i="9"/>
  <c r="N34" i="9"/>
  <c r="F34" i="9"/>
  <c r="S33" i="9"/>
  <c r="K33" i="9"/>
  <c r="X32" i="9"/>
  <c r="P32" i="9"/>
  <c r="H32" i="9"/>
  <c r="U31" i="9"/>
  <c r="M31" i="9"/>
  <c r="Z30" i="9"/>
  <c r="R30" i="9"/>
  <c r="J30" i="9"/>
  <c r="W29" i="9"/>
  <c r="O29" i="9"/>
  <c r="G29" i="9"/>
  <c r="T28" i="9"/>
  <c r="L28" i="9"/>
  <c r="Y27" i="9"/>
  <c r="Q27" i="9"/>
  <c r="I27" i="9"/>
  <c r="V26" i="9"/>
  <c r="N26" i="9"/>
  <c r="F26" i="9"/>
  <c r="S25" i="9"/>
  <c r="K25" i="9"/>
  <c r="X24" i="9"/>
  <c r="P24" i="9"/>
  <c r="H24" i="9"/>
  <c r="F58" i="6"/>
  <c r="B32" i="9"/>
  <c r="C32" i="9" s="1"/>
  <c r="B24" i="9"/>
  <c r="C24" i="9" s="1"/>
  <c r="U23" i="9"/>
  <c r="M23" i="9"/>
  <c r="Y38" i="9"/>
  <c r="Q38" i="9"/>
  <c r="I38" i="9"/>
  <c r="V37" i="9"/>
  <c r="N37" i="9"/>
  <c r="F37" i="9"/>
  <c r="S36" i="9"/>
  <c r="K36" i="9"/>
  <c r="X35" i="9"/>
  <c r="P35" i="9"/>
  <c r="H35" i="9"/>
  <c r="U34" i="9"/>
  <c r="M34" i="9"/>
  <c r="Z33" i="9"/>
  <c r="R33" i="9"/>
  <c r="J33" i="9"/>
  <c r="W32" i="9"/>
  <c r="O32" i="9"/>
  <c r="G32" i="9"/>
  <c r="T31" i="9"/>
  <c r="L31" i="9"/>
  <c r="Y30" i="9"/>
  <c r="Q30" i="9"/>
  <c r="I30" i="9"/>
  <c r="V29" i="9"/>
  <c r="N29" i="9"/>
  <c r="F29" i="9"/>
  <c r="S28" i="9"/>
  <c r="K28" i="9"/>
  <c r="X27" i="9"/>
  <c r="P27" i="9"/>
  <c r="H27" i="9"/>
  <c r="U26" i="9"/>
  <c r="M26" i="9"/>
  <c r="Z25" i="9"/>
  <c r="R25" i="9"/>
  <c r="J25" i="9"/>
  <c r="W24" i="9"/>
  <c r="O24" i="9"/>
  <c r="G24" i="9"/>
  <c r="Q73" i="6"/>
  <c r="T47" i="9" s="1"/>
  <c r="I73" i="6"/>
  <c r="U72" i="6"/>
  <c r="X46" i="9" s="1"/>
  <c r="M72" i="6"/>
  <c r="P46" i="9" s="1"/>
  <c r="E72" i="6"/>
  <c r="Q71" i="6"/>
  <c r="T45" i="9" s="1"/>
  <c r="I71" i="6"/>
  <c r="L45" i="9" s="1"/>
  <c r="U70" i="6"/>
  <c r="X44" i="9" s="1"/>
  <c r="M70" i="6"/>
  <c r="P44" i="9" s="1"/>
  <c r="E70" i="6"/>
  <c r="Q69" i="6"/>
  <c r="T43" i="9" s="1"/>
  <c r="I69" i="6"/>
  <c r="L43" i="9" s="1"/>
  <c r="U68" i="6"/>
  <c r="M68" i="6"/>
  <c r="E68" i="6"/>
  <c r="H42" i="9" s="1"/>
  <c r="Q67" i="6"/>
  <c r="I67" i="6"/>
  <c r="U66" i="6"/>
  <c r="M66" i="6"/>
  <c r="E66" i="6"/>
  <c r="Q65" i="6"/>
  <c r="I65" i="6"/>
  <c r="U64" i="6"/>
  <c r="M64" i="6"/>
  <c r="E64" i="6"/>
  <c r="Q63" i="6"/>
  <c r="I63" i="6"/>
  <c r="U62" i="6"/>
  <c r="M62" i="6"/>
  <c r="E62" i="6"/>
  <c r="Q61" i="6"/>
  <c r="I61" i="6"/>
  <c r="U60" i="6"/>
  <c r="M60" i="6"/>
  <c r="E60" i="6"/>
  <c r="Q59" i="6"/>
  <c r="I59" i="6"/>
  <c r="U58" i="6"/>
  <c r="M58" i="6"/>
  <c r="E58" i="6"/>
  <c r="B38" i="9"/>
  <c r="C38" i="9" s="1"/>
  <c r="B31" i="9"/>
  <c r="C31" i="9" s="1"/>
  <c r="T23" i="9"/>
  <c r="L23" i="9"/>
  <c r="X38" i="9"/>
  <c r="P38" i="9"/>
  <c r="H38" i="9"/>
  <c r="U37" i="9"/>
  <c r="M37" i="9"/>
  <c r="Z36" i="9"/>
  <c r="R36" i="9"/>
  <c r="J36" i="9"/>
  <c r="W35" i="9"/>
  <c r="O35" i="9"/>
  <c r="G35" i="9"/>
  <c r="T34" i="9"/>
  <c r="L34" i="9"/>
  <c r="Y33" i="9"/>
  <c r="Q33" i="9"/>
  <c r="I33" i="9"/>
  <c r="V32" i="9"/>
  <c r="N32" i="9"/>
  <c r="F32" i="9"/>
  <c r="S31" i="9"/>
  <c r="K31" i="9"/>
  <c r="X30" i="9"/>
  <c r="P30" i="9"/>
  <c r="H30" i="9"/>
  <c r="U29" i="9"/>
  <c r="M29" i="9"/>
  <c r="Z28" i="9"/>
  <c r="R28" i="9"/>
  <c r="J28" i="9"/>
  <c r="W27" i="9"/>
  <c r="O27" i="9"/>
  <c r="G27" i="9"/>
  <c r="T26" i="9"/>
  <c r="L26" i="9"/>
  <c r="Y25" i="9"/>
  <c r="Q25" i="9"/>
  <c r="I25" i="9"/>
  <c r="V24" i="9"/>
  <c r="N24" i="9"/>
  <c r="D26" i="9"/>
  <c r="D11" i="9"/>
  <c r="D34" i="9"/>
  <c r="D17" i="9"/>
  <c r="C29" i="9"/>
  <c r="D12" i="9"/>
  <c r="D20" i="9"/>
  <c r="D30" i="9"/>
  <c r="D19" i="9"/>
  <c r="D27" i="9"/>
  <c r="D13" i="9"/>
  <c r="D21" i="9"/>
  <c r="B49" i="6"/>
  <c r="B54" i="6"/>
  <c r="C62" i="6"/>
  <c r="B69" i="6"/>
  <c r="B43" i="9" s="1"/>
  <c r="C73" i="6"/>
  <c r="C49" i="6"/>
  <c r="C54" i="6"/>
  <c r="B65" i="6"/>
  <c r="C69" i="6"/>
  <c r="F43" i="9" s="1"/>
  <c r="B47" i="6"/>
  <c r="B52" i="6"/>
  <c r="C58" i="6"/>
  <c r="B61" i="6"/>
  <c r="C65" i="6"/>
  <c r="B72" i="6"/>
  <c r="C42" i="6"/>
  <c r="C44" i="6"/>
  <c r="B45" i="6"/>
  <c r="B50" i="6"/>
  <c r="C52" i="6"/>
  <c r="C61" i="6"/>
  <c r="B68" i="6"/>
  <c r="C55" i="6"/>
  <c r="C51" i="6"/>
  <c r="C47" i="6"/>
  <c r="C43" i="6"/>
  <c r="B55" i="6"/>
  <c r="C56" i="6"/>
  <c r="B64" i="6"/>
  <c r="B5" i="6"/>
  <c r="B42" i="6" s="1"/>
  <c r="B43" i="6"/>
  <c r="B48" i="6"/>
  <c r="B53" i="6"/>
  <c r="C57" i="6"/>
  <c r="B60" i="6"/>
  <c r="B70" i="6"/>
  <c r="B44" i="9" s="1"/>
  <c r="C71" i="6"/>
  <c r="C67" i="6"/>
  <c r="C63" i="6"/>
  <c r="C59" i="6"/>
  <c r="Y47" i="9"/>
  <c r="B71" i="6"/>
  <c r="B45" i="9" s="1"/>
  <c r="B67" i="6"/>
  <c r="B63" i="6"/>
  <c r="B59" i="6"/>
  <c r="C72" i="6"/>
  <c r="F46" i="9" s="1"/>
  <c r="C68" i="6"/>
  <c r="F42" i="9" s="1"/>
  <c r="C64" i="6"/>
  <c r="C60" i="6"/>
  <c r="B46" i="6"/>
  <c r="C48" i="6"/>
  <c r="C53" i="6"/>
  <c r="B66" i="6"/>
  <c r="C70" i="6"/>
  <c r="C45" i="6"/>
  <c r="C50" i="6"/>
  <c r="B57" i="6"/>
  <c r="B22" i="6"/>
  <c r="C46" i="6"/>
  <c r="B51" i="6"/>
  <c r="B56" i="6"/>
  <c r="B62" i="6"/>
  <c r="C66" i="6"/>
  <c r="X45" i="9"/>
  <c r="B73" i="6"/>
  <c r="F56" i="9"/>
  <c r="N56" i="9"/>
  <c r="V56" i="9"/>
  <c r="Z56" i="9"/>
  <c r="M57" i="9"/>
  <c r="U57" i="9"/>
  <c r="L58" i="9"/>
  <c r="T58" i="9"/>
  <c r="K59" i="9"/>
  <c r="S59" i="9"/>
  <c r="J60" i="9"/>
  <c r="R60" i="9"/>
  <c r="I61" i="9"/>
  <c r="Q61" i="9"/>
  <c r="Y61" i="9"/>
  <c r="H62" i="9"/>
  <c r="P62" i="9"/>
  <c r="X62" i="9"/>
  <c r="G63" i="9"/>
  <c r="O63" i="9"/>
  <c r="W63" i="9"/>
  <c r="F64" i="9"/>
  <c r="N64" i="9"/>
  <c r="V64" i="9"/>
  <c r="Z64" i="9"/>
  <c r="M65" i="9"/>
  <c r="U65" i="9"/>
  <c r="L66" i="9"/>
  <c r="T66" i="9"/>
  <c r="K67" i="9"/>
  <c r="S67" i="9"/>
  <c r="J68" i="9"/>
  <c r="R68" i="9"/>
  <c r="I69" i="9"/>
  <c r="Q69" i="9"/>
  <c r="Y69" i="9"/>
  <c r="H70" i="9"/>
  <c r="P70" i="9"/>
  <c r="X70" i="9"/>
  <c r="G71" i="9"/>
  <c r="O71" i="9"/>
  <c r="W71" i="9"/>
  <c r="F72" i="9"/>
  <c r="N72" i="9"/>
  <c r="V72" i="9"/>
  <c r="Z72" i="9"/>
  <c r="M73" i="9"/>
  <c r="U73" i="9"/>
  <c r="L74" i="9"/>
  <c r="T74" i="9"/>
  <c r="K75" i="9"/>
  <c r="S75" i="9"/>
  <c r="G56" i="9"/>
  <c r="O56" i="9"/>
  <c r="W56" i="9"/>
  <c r="F57" i="9"/>
  <c r="N57" i="9"/>
  <c r="V57" i="9"/>
  <c r="Z57" i="9"/>
  <c r="M58" i="9"/>
  <c r="U58" i="9"/>
  <c r="L59" i="9"/>
  <c r="T59" i="9"/>
  <c r="K60" i="9"/>
  <c r="S60" i="9"/>
  <c r="J61" i="9"/>
  <c r="R61" i="9"/>
  <c r="I62" i="9"/>
  <c r="Q62" i="9"/>
  <c r="Y62" i="9"/>
  <c r="H63" i="9"/>
  <c r="P63" i="9"/>
  <c r="X63" i="9"/>
  <c r="G64" i="9"/>
  <c r="O64" i="9"/>
  <c r="W64" i="9"/>
  <c r="F65" i="9"/>
  <c r="N65" i="9"/>
  <c r="V65" i="9"/>
  <c r="Z65" i="9"/>
  <c r="M66" i="9"/>
  <c r="U66" i="9"/>
  <c r="L67" i="9"/>
  <c r="T67" i="9"/>
  <c r="K68" i="9"/>
  <c r="S68" i="9"/>
  <c r="J69" i="9"/>
  <c r="R69" i="9"/>
  <c r="I70" i="9"/>
  <c r="Q70" i="9"/>
  <c r="Y70" i="9"/>
  <c r="H71" i="9"/>
  <c r="P71" i="9"/>
  <c r="X71" i="9"/>
  <c r="G72" i="9"/>
  <c r="O72" i="9"/>
  <c r="W72" i="9"/>
  <c r="F73" i="9"/>
  <c r="N73" i="9"/>
  <c r="V73" i="9"/>
  <c r="Z73" i="9"/>
  <c r="M74" i="9"/>
  <c r="U74" i="9"/>
  <c r="L75" i="9"/>
  <c r="T75" i="9"/>
  <c r="K76" i="9"/>
  <c r="H56" i="9"/>
  <c r="P56" i="9"/>
  <c r="X56" i="9"/>
  <c r="G57" i="9"/>
  <c r="I56" i="9"/>
  <c r="J56" i="9"/>
  <c r="K56" i="9"/>
  <c r="L56" i="9"/>
  <c r="M56" i="9"/>
  <c r="U56" i="9"/>
  <c r="L57" i="9"/>
  <c r="T57" i="9"/>
  <c r="K58" i="9"/>
  <c r="S58" i="9"/>
  <c r="J59" i="9"/>
  <c r="R59" i="9"/>
  <c r="I60" i="9"/>
  <c r="Q60" i="9"/>
  <c r="Y60" i="9"/>
  <c r="H61" i="9"/>
  <c r="P61" i="9"/>
  <c r="X61" i="9"/>
  <c r="G62" i="9"/>
  <c r="O62" i="9"/>
  <c r="W62" i="9"/>
  <c r="F63" i="9"/>
  <c r="N63" i="9"/>
  <c r="V63" i="9"/>
  <c r="Z63" i="9"/>
  <c r="M64" i="9"/>
  <c r="U64" i="9"/>
  <c r="L65" i="9"/>
  <c r="T65" i="9"/>
  <c r="K66" i="9"/>
  <c r="S66" i="9"/>
  <c r="J67" i="9"/>
  <c r="R67" i="9"/>
  <c r="I68" i="9"/>
  <c r="Q68" i="9"/>
  <c r="Y68" i="9"/>
  <c r="H69" i="9"/>
  <c r="P69" i="9"/>
  <c r="X69" i="9"/>
  <c r="G70" i="9"/>
  <c r="O70" i="9"/>
  <c r="W70" i="9"/>
  <c r="F71" i="9"/>
  <c r="N71" i="9"/>
  <c r="V71" i="9"/>
  <c r="Z71" i="9"/>
  <c r="M72" i="9"/>
  <c r="U72" i="9"/>
  <c r="L73" i="9"/>
  <c r="T73" i="9"/>
  <c r="K74" i="9"/>
  <c r="S74" i="9"/>
  <c r="J75" i="9"/>
  <c r="R75" i="9"/>
  <c r="I76" i="9"/>
  <c r="Q76" i="9"/>
  <c r="Y76" i="9"/>
  <c r="H77" i="9"/>
  <c r="P77" i="9"/>
  <c r="X77" i="9"/>
  <c r="G78" i="9"/>
  <c r="O78" i="9"/>
  <c r="W78" i="9"/>
  <c r="F79" i="9"/>
  <c r="N79" i="9"/>
  <c r="V79" i="9"/>
  <c r="Z79" i="9"/>
  <c r="M80" i="9"/>
  <c r="U80" i="9"/>
  <c r="L81" i="9"/>
  <c r="T81" i="9"/>
  <c r="K82" i="9"/>
  <c r="S82" i="9"/>
  <c r="J83" i="9"/>
  <c r="Q56" i="9"/>
  <c r="H57" i="9"/>
  <c r="S57" i="9"/>
  <c r="H58" i="9"/>
  <c r="V58" i="9"/>
  <c r="H59" i="9"/>
  <c r="V59" i="9"/>
  <c r="H60" i="9"/>
  <c r="V60" i="9"/>
  <c r="K61" i="9"/>
  <c r="V61" i="9"/>
  <c r="K62" i="9"/>
  <c r="V62" i="9"/>
  <c r="K63" i="9"/>
  <c r="Y63" i="9"/>
  <c r="K64" i="9"/>
  <c r="Y64" i="9"/>
  <c r="K65" i="9"/>
  <c r="Y65" i="9"/>
  <c r="N66" i="9"/>
  <c r="Y66" i="9"/>
  <c r="N67" i="9"/>
  <c r="Y67" i="9"/>
  <c r="N68" i="9"/>
  <c r="N69" i="9"/>
  <c r="N70" i="9"/>
  <c r="Q71" i="9"/>
  <c r="Q72" i="9"/>
  <c r="Q73" i="9"/>
  <c r="F74" i="9"/>
  <c r="Q74" i="9"/>
  <c r="F75" i="9"/>
  <c r="Q75" i="9"/>
  <c r="F76" i="9"/>
  <c r="P76" i="9"/>
  <c r="J77" i="9"/>
  <c r="S77" i="9"/>
  <c r="L78" i="9"/>
  <c r="U78" i="9"/>
  <c r="Z78" i="9"/>
  <c r="O79" i="9"/>
  <c r="X79" i="9"/>
  <c r="H80" i="9"/>
  <c r="Q80" i="9"/>
  <c r="J81" i="9"/>
  <c r="S81" i="9"/>
  <c r="M82" i="9"/>
  <c r="V82" i="9"/>
  <c r="F83" i="9"/>
  <c r="O83" i="9"/>
  <c r="W83" i="9"/>
  <c r="F84" i="9"/>
  <c r="N84" i="9"/>
  <c r="V84" i="9"/>
  <c r="Z84" i="9"/>
  <c r="M85" i="9"/>
  <c r="U85" i="9"/>
  <c r="L86" i="9"/>
  <c r="T86" i="9"/>
  <c r="K87" i="9"/>
  <c r="S87" i="9"/>
  <c r="J88" i="9"/>
  <c r="R88" i="9"/>
  <c r="I89" i="9"/>
  <c r="Q89" i="9"/>
  <c r="Y89" i="9"/>
  <c r="H90" i="9"/>
  <c r="P90" i="9"/>
  <c r="X90" i="9"/>
  <c r="G91" i="9"/>
  <c r="O91" i="9"/>
  <c r="W91" i="9"/>
  <c r="R56" i="9"/>
  <c r="I57" i="9"/>
  <c r="W57" i="9"/>
  <c r="I58" i="9"/>
  <c r="W58" i="9"/>
  <c r="I59" i="9"/>
  <c r="W59" i="9"/>
  <c r="L60" i="9"/>
  <c r="W60" i="9"/>
  <c r="L61" i="9"/>
  <c r="W61" i="9"/>
  <c r="L62" i="9"/>
  <c r="L63" i="9"/>
  <c r="L64" i="9"/>
  <c r="O65" i="9"/>
  <c r="O66" i="9"/>
  <c r="O67" i="9"/>
  <c r="O68" i="9"/>
  <c r="O69" i="9"/>
  <c r="R70" i="9"/>
  <c r="R71" i="9"/>
  <c r="R72" i="9"/>
  <c r="G73" i="9"/>
  <c r="R73" i="9"/>
  <c r="G74" i="9"/>
  <c r="R74" i="9"/>
  <c r="G75" i="9"/>
  <c r="U75" i="9"/>
  <c r="G76" i="9"/>
  <c r="R76" i="9"/>
  <c r="K77" i="9"/>
  <c r="T77" i="9"/>
  <c r="M78" i="9"/>
  <c r="V78" i="9"/>
  <c r="G79" i="9"/>
  <c r="P79" i="9"/>
  <c r="Y79" i="9"/>
  <c r="I80" i="9"/>
  <c r="R80" i="9"/>
  <c r="K81" i="9"/>
  <c r="U81" i="9"/>
  <c r="Z81" i="9"/>
  <c r="N82" i="9"/>
  <c r="W82" i="9"/>
  <c r="G83" i="9"/>
  <c r="P83" i="9"/>
  <c r="X83" i="9"/>
  <c r="G84" i="9"/>
  <c r="O84" i="9"/>
  <c r="S56" i="9"/>
  <c r="J57" i="9"/>
  <c r="X57" i="9"/>
  <c r="J58" i="9"/>
  <c r="X58" i="9"/>
  <c r="M59" i="9"/>
  <c r="X59" i="9"/>
  <c r="M60" i="9"/>
  <c r="X60" i="9"/>
  <c r="M61" i="9"/>
  <c r="M62" i="9"/>
  <c r="M63" i="9"/>
  <c r="P64" i="9"/>
  <c r="P65" i="9"/>
  <c r="P66" i="9"/>
  <c r="Z66" i="9"/>
  <c r="P67" i="9"/>
  <c r="Z67" i="9"/>
  <c r="P68" i="9"/>
  <c r="Z68" i="9"/>
  <c r="S69" i="9"/>
  <c r="Z69" i="9"/>
  <c r="S70" i="9"/>
  <c r="Z70" i="9"/>
  <c r="S71" i="9"/>
  <c r="H72" i="9"/>
  <c r="S72" i="9"/>
  <c r="H73" i="9"/>
  <c r="S73" i="9"/>
  <c r="H74" i="9"/>
  <c r="V74" i="9"/>
  <c r="H75" i="9"/>
  <c r="V75" i="9"/>
  <c r="H76" i="9"/>
  <c r="S76" i="9"/>
  <c r="L77" i="9"/>
  <c r="U77" i="9"/>
  <c r="Z77" i="9"/>
  <c r="N78" i="9"/>
  <c r="X78" i="9"/>
  <c r="H79" i="9"/>
  <c r="Q79" i="9"/>
  <c r="J80" i="9"/>
  <c r="S80" i="9"/>
  <c r="M81" i="9"/>
  <c r="V81" i="9"/>
  <c r="F82" i="9"/>
  <c r="O82" i="9"/>
  <c r="X82" i="9"/>
  <c r="H83" i="9"/>
  <c r="Q83" i="9"/>
  <c r="Y83" i="9"/>
  <c r="H84" i="9"/>
  <c r="P84" i="9"/>
  <c r="X84" i="9"/>
  <c r="R57" i="9"/>
  <c r="G58" i="9"/>
  <c r="R58" i="9"/>
  <c r="G59" i="9"/>
  <c r="U59" i="9"/>
  <c r="G60" i="9"/>
  <c r="U60" i="9"/>
  <c r="G61" i="9"/>
  <c r="U61" i="9"/>
  <c r="J62" i="9"/>
  <c r="U62" i="9"/>
  <c r="J63" i="9"/>
  <c r="U63" i="9"/>
  <c r="J64" i="9"/>
  <c r="X64" i="9"/>
  <c r="J65" i="9"/>
  <c r="X65" i="9"/>
  <c r="J66" i="9"/>
  <c r="T56" i="9"/>
  <c r="Y57" i="9"/>
  <c r="Y58" i="9"/>
  <c r="Y59" i="9"/>
  <c r="F66" i="9"/>
  <c r="X66" i="9"/>
  <c r="V67" i="9"/>
  <c r="T68" i="9"/>
  <c r="L69" i="9"/>
  <c r="J70" i="9"/>
  <c r="Y71" i="9"/>
  <c r="T72" i="9"/>
  <c r="O73" i="9"/>
  <c r="J74" i="9"/>
  <c r="Z74" i="9"/>
  <c r="Y75" i="9"/>
  <c r="T76" i="9"/>
  <c r="G77" i="9"/>
  <c r="W77" i="9"/>
  <c r="K78" i="9"/>
  <c r="R79" i="9"/>
  <c r="F80" i="9"/>
  <c r="V80" i="9"/>
  <c r="I81" i="9"/>
  <c r="Y81" i="9"/>
  <c r="P82" i="9"/>
  <c r="S83" i="9"/>
  <c r="Z83" i="9"/>
  <c r="S84" i="9"/>
  <c r="N85" i="9"/>
  <c r="W85" i="9"/>
  <c r="G86" i="9"/>
  <c r="P86" i="9"/>
  <c r="Y86" i="9"/>
  <c r="I87" i="9"/>
  <c r="R87" i="9"/>
  <c r="L88" i="9"/>
  <c r="U88" i="9"/>
  <c r="Z88" i="9"/>
  <c r="N89" i="9"/>
  <c r="W89" i="9"/>
  <c r="G90" i="9"/>
  <c r="Q90" i="9"/>
  <c r="J91" i="9"/>
  <c r="S91" i="9"/>
  <c r="K92" i="9"/>
  <c r="S92" i="9"/>
  <c r="J93" i="9"/>
  <c r="R93" i="9"/>
  <c r="I94" i="9"/>
  <c r="Q94" i="9"/>
  <c r="Y94" i="9"/>
  <c r="H95" i="9"/>
  <c r="P95" i="9"/>
  <c r="X95" i="9"/>
  <c r="G96" i="9"/>
  <c r="O96" i="9"/>
  <c r="W96" i="9"/>
  <c r="F97" i="9"/>
  <c r="N97" i="9"/>
  <c r="V97" i="9"/>
  <c r="Z97" i="9"/>
  <c r="Y56" i="9"/>
  <c r="G65" i="9"/>
  <c r="G66" i="9"/>
  <c r="F67" i="9"/>
  <c r="W67" i="9"/>
  <c r="U68" i="9"/>
  <c r="M69" i="9"/>
  <c r="K70" i="9"/>
  <c r="I71" i="9"/>
  <c r="X72" i="9"/>
  <c r="P73" i="9"/>
  <c r="N74" i="9"/>
  <c r="I75" i="9"/>
  <c r="U76" i="9"/>
  <c r="I77" i="9"/>
  <c r="Y77" i="9"/>
  <c r="P78" i="9"/>
  <c r="S79" i="9"/>
  <c r="G80" i="9"/>
  <c r="W80" i="9"/>
  <c r="N81" i="9"/>
  <c r="Q82" i="9"/>
  <c r="Z82" i="9"/>
  <c r="T83" i="9"/>
  <c r="I84" i="9"/>
  <c r="T84" i="9"/>
  <c r="F85" i="9"/>
  <c r="O85" i="9"/>
  <c r="X85" i="9"/>
  <c r="H86" i="9"/>
  <c r="Q86" i="9"/>
  <c r="J87" i="9"/>
  <c r="T87" i="9"/>
  <c r="M88" i="9"/>
  <c r="V88" i="9"/>
  <c r="F89" i="9"/>
  <c r="O89" i="9"/>
  <c r="X89" i="9"/>
  <c r="I90" i="9"/>
  <c r="R90" i="9"/>
  <c r="K91" i="9"/>
  <c r="T91" i="9"/>
  <c r="L92" i="9"/>
  <c r="T92" i="9"/>
  <c r="K93" i="9"/>
  <c r="S93" i="9"/>
  <c r="J94" i="9"/>
  <c r="R94" i="9"/>
  <c r="I95" i="9"/>
  <c r="Q95" i="9"/>
  <c r="Y95" i="9"/>
  <c r="H96" i="9"/>
  <c r="P96" i="9"/>
  <c r="X96" i="9"/>
  <c r="G97" i="9"/>
  <c r="O97" i="9"/>
  <c r="W97" i="9"/>
  <c r="Z58" i="9"/>
  <c r="Z59" i="9"/>
  <c r="Z60" i="9"/>
  <c r="Z61" i="9"/>
  <c r="Z62" i="9"/>
  <c r="H64" i="9"/>
  <c r="H65" i="9"/>
  <c r="H66" i="9"/>
  <c r="G67" i="9"/>
  <c r="X67" i="9"/>
  <c r="V68" i="9"/>
  <c r="T69" i="9"/>
  <c r="L70" i="9"/>
  <c r="J71" i="9"/>
  <c r="Y72" i="9"/>
  <c r="W73" i="9"/>
  <c r="O74" i="9"/>
  <c r="M75" i="9"/>
  <c r="Z75" i="9"/>
  <c r="V76" i="9"/>
  <c r="M77" i="9"/>
  <c r="Q78" i="9"/>
  <c r="T79" i="9"/>
  <c r="K80" i="9"/>
  <c r="X80" i="9"/>
  <c r="O81" i="9"/>
  <c r="R82" i="9"/>
  <c r="I83" i="9"/>
  <c r="U83" i="9"/>
  <c r="J84" i="9"/>
  <c r="U84" i="9"/>
  <c r="G85" i="9"/>
  <c r="P85" i="9"/>
  <c r="Y85" i="9"/>
  <c r="I86" i="9"/>
  <c r="R86" i="9"/>
  <c r="L87" i="9"/>
  <c r="U87" i="9"/>
  <c r="Z87" i="9"/>
  <c r="N88" i="9"/>
  <c r="W88" i="9"/>
  <c r="G89" i="9"/>
  <c r="P89" i="9"/>
  <c r="J90" i="9"/>
  <c r="S90" i="9"/>
  <c r="L91" i="9"/>
  <c r="U91" i="9"/>
  <c r="Z91" i="9"/>
  <c r="M92" i="9"/>
  <c r="U92" i="9"/>
  <c r="L93" i="9"/>
  <c r="T93" i="9"/>
  <c r="K94" i="9"/>
  <c r="S94" i="9"/>
  <c r="J95" i="9"/>
  <c r="R95" i="9"/>
  <c r="I96" i="9"/>
  <c r="Q96" i="9"/>
  <c r="Y96" i="9"/>
  <c r="H97" i="9"/>
  <c r="P97" i="9"/>
  <c r="X97" i="9"/>
  <c r="V91" i="9"/>
  <c r="F92" i="9"/>
  <c r="F58" i="9"/>
  <c r="F59" i="9"/>
  <c r="F60" i="9"/>
  <c r="F61" i="9"/>
  <c r="F62" i="9"/>
  <c r="I63" i="9"/>
  <c r="I64" i="9"/>
  <c r="I65" i="9"/>
  <c r="I66" i="9"/>
  <c r="H67" i="9"/>
  <c r="F68" i="9"/>
  <c r="W68" i="9"/>
  <c r="U69" i="9"/>
  <c r="M70" i="9"/>
  <c r="K71" i="9"/>
  <c r="I72" i="9"/>
  <c r="X73" i="9"/>
  <c r="P74" i="9"/>
  <c r="N75" i="9"/>
  <c r="J76" i="9"/>
  <c r="W76" i="9"/>
  <c r="N77" i="9"/>
  <c r="R78" i="9"/>
  <c r="I79" i="9"/>
  <c r="U79" i="9"/>
  <c r="L80" i="9"/>
  <c r="Y80" i="9"/>
  <c r="P81" i="9"/>
  <c r="G82" i="9"/>
  <c r="T82" i="9"/>
  <c r="K83" i="9"/>
  <c r="V83" i="9"/>
  <c r="K84" i="9"/>
  <c r="W84" i="9"/>
  <c r="H85" i="9"/>
  <c r="Q85" i="9"/>
  <c r="J86" i="9"/>
  <c r="S86" i="9"/>
  <c r="M87" i="9"/>
  <c r="V87" i="9"/>
  <c r="F88" i="9"/>
  <c r="O88" i="9"/>
  <c r="X88" i="9"/>
  <c r="H89" i="9"/>
  <c r="R89" i="9"/>
  <c r="K90" i="9"/>
  <c r="T90" i="9"/>
  <c r="M91" i="9"/>
  <c r="K57" i="9"/>
  <c r="N58" i="9"/>
  <c r="N59" i="9"/>
  <c r="N60" i="9"/>
  <c r="N61" i="9"/>
  <c r="N62" i="9"/>
  <c r="O57" i="9"/>
  <c r="O58" i="9"/>
  <c r="O59" i="9"/>
  <c r="O60" i="9"/>
  <c r="O61" i="9"/>
  <c r="R62" i="9"/>
  <c r="R63" i="9"/>
  <c r="Q57" i="9"/>
  <c r="Q58" i="9"/>
  <c r="Q59" i="9"/>
  <c r="T60" i="9"/>
  <c r="T61" i="9"/>
  <c r="T62" i="9"/>
  <c r="T63" i="9"/>
  <c r="T64" i="9"/>
  <c r="W65" i="9"/>
  <c r="W66" i="9"/>
  <c r="U67" i="9"/>
  <c r="M68" i="9"/>
  <c r="K69" i="9"/>
  <c r="F70" i="9"/>
  <c r="U71" i="9"/>
  <c r="P72" i="9"/>
  <c r="K73" i="9"/>
  <c r="I74" i="9"/>
  <c r="X75" i="9"/>
  <c r="O76" i="9"/>
  <c r="F77" i="9"/>
  <c r="V77" i="9"/>
  <c r="J78" i="9"/>
  <c r="M79" i="9"/>
  <c r="T80" i="9"/>
  <c r="H81" i="9"/>
  <c r="X81" i="9"/>
  <c r="L82" i="9"/>
  <c r="R83" i="9"/>
  <c r="R84" i="9"/>
  <c r="L85" i="9"/>
  <c r="V85" i="9"/>
  <c r="F86" i="9"/>
  <c r="O86" i="9"/>
  <c r="X86" i="9"/>
  <c r="H87" i="9"/>
  <c r="Q87" i="9"/>
  <c r="K88" i="9"/>
  <c r="T88" i="9"/>
  <c r="M89" i="9"/>
  <c r="V89" i="9"/>
  <c r="F90" i="9"/>
  <c r="O90" i="9"/>
  <c r="Y90" i="9"/>
  <c r="I91" i="9"/>
  <c r="R91" i="9"/>
  <c r="J92" i="9"/>
  <c r="R92" i="9"/>
  <c r="I93" i="9"/>
  <c r="Q93" i="9"/>
  <c r="Y93" i="9"/>
  <c r="H94" i="9"/>
  <c r="P94" i="9"/>
  <c r="X94" i="9"/>
  <c r="G95" i="9"/>
  <c r="O95" i="9"/>
  <c r="W95" i="9"/>
  <c r="F96" i="9"/>
  <c r="N96" i="9"/>
  <c r="V96" i="9"/>
  <c r="Z96" i="9"/>
  <c r="M97" i="9"/>
  <c r="U97" i="9"/>
  <c r="P57" i="9"/>
  <c r="Q64" i="9"/>
  <c r="V66" i="9"/>
  <c r="F69" i="9"/>
  <c r="L71" i="9"/>
  <c r="J73" i="9"/>
  <c r="P75" i="9"/>
  <c r="O77" i="9"/>
  <c r="Y78" i="9"/>
  <c r="O80" i="9"/>
  <c r="H82" i="9"/>
  <c r="N83" i="9"/>
  <c r="W86" i="9"/>
  <c r="X87" i="9"/>
  <c r="Y88" i="9"/>
  <c r="U89" i="9"/>
  <c r="V90" i="9"/>
  <c r="X91" i="9"/>
  <c r="P92" i="9"/>
  <c r="G93" i="9"/>
  <c r="W93" i="9"/>
  <c r="N94" i="9"/>
  <c r="Z94" i="9"/>
  <c r="U95" i="9"/>
  <c r="L96" i="9"/>
  <c r="S97" i="9"/>
  <c r="P60" i="9"/>
  <c r="G87" i="9"/>
  <c r="J89" i="9"/>
  <c r="Z89" i="9"/>
  <c r="G92" i="9"/>
  <c r="Z93" i="9"/>
  <c r="L95" i="9"/>
  <c r="J97" i="9"/>
  <c r="X74" i="9"/>
  <c r="M90" i="9"/>
  <c r="P93" i="9"/>
  <c r="P58" i="9"/>
  <c r="R64" i="9"/>
  <c r="I67" i="9"/>
  <c r="G69" i="9"/>
  <c r="M71" i="9"/>
  <c r="Y73" i="9"/>
  <c r="W75" i="9"/>
  <c r="Q77" i="9"/>
  <c r="J79" i="9"/>
  <c r="P80" i="9"/>
  <c r="I82" i="9"/>
  <c r="Z86" i="9"/>
  <c r="Y87" i="9"/>
  <c r="W90" i="9"/>
  <c r="Y91" i="9"/>
  <c r="Q92" i="9"/>
  <c r="H93" i="9"/>
  <c r="X93" i="9"/>
  <c r="O94" i="9"/>
  <c r="F95" i="9"/>
  <c r="V95" i="9"/>
  <c r="M96" i="9"/>
  <c r="T97" i="9"/>
  <c r="Q67" i="9"/>
  <c r="K86" i="9"/>
  <c r="F91" i="9"/>
  <c r="U94" i="9"/>
  <c r="S96" i="9"/>
  <c r="T70" i="9"/>
  <c r="M84" i="9"/>
  <c r="N91" i="9"/>
  <c r="U96" i="9"/>
  <c r="P59" i="9"/>
  <c r="S64" i="9"/>
  <c r="M67" i="9"/>
  <c r="V69" i="9"/>
  <c r="T71" i="9"/>
  <c r="L76" i="9"/>
  <c r="R77" i="9"/>
  <c r="K79" i="9"/>
  <c r="Z80" i="9"/>
  <c r="J82" i="9"/>
  <c r="I85" i="9"/>
  <c r="Z85" i="9"/>
  <c r="F87" i="9"/>
  <c r="G88" i="9"/>
  <c r="Z90" i="9"/>
  <c r="V92" i="9"/>
  <c r="M93" i="9"/>
  <c r="T94" i="9"/>
  <c r="K95" i="9"/>
  <c r="R96" i="9"/>
  <c r="I97" i="9"/>
  <c r="Y97" i="9"/>
  <c r="W69" i="9"/>
  <c r="H88" i="9"/>
  <c r="N93" i="9"/>
  <c r="H68" i="9"/>
  <c r="R85" i="9"/>
  <c r="Y92" i="9"/>
  <c r="L97" i="9"/>
  <c r="Q65" i="9"/>
  <c r="J72" i="9"/>
  <c r="M76" i="9"/>
  <c r="F78" i="9"/>
  <c r="F81" i="9"/>
  <c r="U82" i="9"/>
  <c r="J85" i="9"/>
  <c r="W92" i="9"/>
  <c r="L72" i="9"/>
  <c r="P88" i="9"/>
  <c r="N95" i="9"/>
  <c r="S61" i="9"/>
  <c r="R65" i="9"/>
  <c r="G68" i="9"/>
  <c r="K72" i="9"/>
  <c r="W74" i="9"/>
  <c r="N76" i="9"/>
  <c r="H78" i="9"/>
  <c r="W79" i="9"/>
  <c r="G81" i="9"/>
  <c r="Y82" i="9"/>
  <c r="L84" i="9"/>
  <c r="K85" i="9"/>
  <c r="M86" i="9"/>
  <c r="N87" i="9"/>
  <c r="I88" i="9"/>
  <c r="K89" i="9"/>
  <c r="L90" i="9"/>
  <c r="H91" i="9"/>
  <c r="H92" i="9"/>
  <c r="X92" i="9"/>
  <c r="O93" i="9"/>
  <c r="F94" i="9"/>
  <c r="V94" i="9"/>
  <c r="M95" i="9"/>
  <c r="T96" i="9"/>
  <c r="K97" i="9"/>
  <c r="S62" i="9"/>
  <c r="O87" i="9"/>
  <c r="W94" i="9"/>
  <c r="X76" i="9"/>
  <c r="I78" i="9"/>
  <c r="Q81" i="9"/>
  <c r="L89" i="9"/>
  <c r="Z95" i="9"/>
  <c r="Q63" i="9"/>
  <c r="Q66" i="9"/>
  <c r="L68" i="9"/>
  <c r="U70" i="9"/>
  <c r="Y74" i="9"/>
  <c r="S78" i="9"/>
  <c r="R81" i="9"/>
  <c r="L83" i="9"/>
  <c r="Q84" i="9"/>
  <c r="S85" i="9"/>
  <c r="U86" i="9"/>
  <c r="P87" i="9"/>
  <c r="Q88" i="9"/>
  <c r="S89" i="9"/>
  <c r="N90" i="9"/>
  <c r="P91" i="9"/>
  <c r="N92" i="9"/>
  <c r="Z92" i="9"/>
  <c r="U93" i="9"/>
  <c r="L94" i="9"/>
  <c r="S95" i="9"/>
  <c r="J96" i="9"/>
  <c r="Q97" i="9"/>
  <c r="S63" i="9"/>
  <c r="R66" i="9"/>
  <c r="X68" i="9"/>
  <c r="V70" i="9"/>
  <c r="I73" i="9"/>
  <c r="O75" i="9"/>
  <c r="Z76" i="9"/>
  <c r="T78" i="9"/>
  <c r="N80" i="9"/>
  <c r="W81" i="9"/>
  <c r="M83" i="9"/>
  <c r="Y84" i="9"/>
  <c r="T85" i="9"/>
  <c r="V86" i="9"/>
  <c r="W87" i="9"/>
  <c r="S88" i="9"/>
  <c r="T89" i="9"/>
  <c r="U90" i="9"/>
  <c r="Q91" i="9"/>
  <c r="O92" i="9"/>
  <c r="F93" i="9"/>
  <c r="V93" i="9"/>
  <c r="M94" i="9"/>
  <c r="T95" i="9"/>
  <c r="K96" i="9"/>
  <c r="R97" i="9"/>
  <c r="L79" i="9"/>
  <c r="S65" i="9"/>
  <c r="N86" i="9"/>
  <c r="I92" i="9"/>
  <c r="G94" i="9"/>
  <c r="F6" i="9"/>
  <c r="J43" i="9"/>
  <c r="R43" i="9"/>
  <c r="I44" i="9"/>
  <c r="Q44" i="9"/>
  <c r="Y44" i="9"/>
  <c r="H45" i="9"/>
  <c r="P45" i="9"/>
  <c r="G46" i="9"/>
  <c r="O46" i="9"/>
  <c r="W46" i="9"/>
  <c r="F47" i="9"/>
  <c r="N47" i="9"/>
  <c r="V47" i="9"/>
  <c r="Z47" i="9"/>
  <c r="M48" i="9"/>
  <c r="U48" i="9"/>
  <c r="L49" i="9"/>
  <c r="T49" i="9"/>
  <c r="K50" i="9"/>
  <c r="S50" i="9"/>
  <c r="J51" i="9"/>
  <c r="R51" i="9"/>
  <c r="I52" i="9"/>
  <c r="Q52" i="9"/>
  <c r="Y52" i="9"/>
  <c r="H53" i="9"/>
  <c r="P53" i="9"/>
  <c r="X53" i="9"/>
  <c r="G54" i="9"/>
  <c r="O54" i="9"/>
  <c r="W54" i="9"/>
  <c r="F55" i="9"/>
  <c r="N55" i="9"/>
  <c r="V55" i="9"/>
  <c r="Z55" i="9"/>
  <c r="K43" i="9"/>
  <c r="S43" i="9"/>
  <c r="J44" i="9"/>
  <c r="R44" i="9"/>
  <c r="I45" i="9"/>
  <c r="Q45" i="9"/>
  <c r="Y45" i="9"/>
  <c r="H46" i="9"/>
  <c r="G47" i="9"/>
  <c r="O47" i="9"/>
  <c r="W47" i="9"/>
  <c r="F48" i="9"/>
  <c r="N48" i="9"/>
  <c r="V48" i="9"/>
  <c r="Z48" i="9"/>
  <c r="M49" i="9"/>
  <c r="U49" i="9"/>
  <c r="L50" i="9"/>
  <c r="T50" i="9"/>
  <c r="K51" i="9"/>
  <c r="S51" i="9"/>
  <c r="J52" i="9"/>
  <c r="R52" i="9"/>
  <c r="I53" i="9"/>
  <c r="Q53" i="9"/>
  <c r="Y53" i="9"/>
  <c r="H54" i="9"/>
  <c r="P54" i="9"/>
  <c r="X54" i="9"/>
  <c r="G55" i="9"/>
  <c r="O55" i="9"/>
  <c r="W55" i="9"/>
  <c r="M43" i="9"/>
  <c r="U43" i="9"/>
  <c r="L44" i="9"/>
  <c r="T44" i="9"/>
  <c r="K45" i="9"/>
  <c r="S45" i="9"/>
  <c r="J46" i="9"/>
  <c r="R46" i="9"/>
  <c r="I47" i="9"/>
  <c r="Q47" i="9"/>
  <c r="G43" i="9"/>
  <c r="O43" i="9"/>
  <c r="F44" i="9"/>
  <c r="N44" i="9"/>
  <c r="V44" i="9"/>
  <c r="Z44" i="9"/>
  <c r="M45" i="9"/>
  <c r="U45" i="9"/>
  <c r="L46" i="9"/>
  <c r="T46" i="9"/>
  <c r="K47" i="9"/>
  <c r="S47" i="9"/>
  <c r="J48" i="9"/>
  <c r="R48" i="9"/>
  <c r="I49" i="9"/>
  <c r="Q49" i="9"/>
  <c r="Y49" i="9"/>
  <c r="H50" i="9"/>
  <c r="P50" i="9"/>
  <c r="X50" i="9"/>
  <c r="G51" i="9"/>
  <c r="O51" i="9"/>
  <c r="W51" i="9"/>
  <c r="F52" i="9"/>
  <c r="N52" i="9"/>
  <c r="V52" i="9"/>
  <c r="H43" i="9"/>
  <c r="I43" i="9"/>
  <c r="X43" i="9"/>
  <c r="O44" i="9"/>
  <c r="F45" i="9"/>
  <c r="V45" i="9"/>
  <c r="M46" i="9"/>
  <c r="I48" i="9"/>
  <c r="W48" i="9"/>
  <c r="J49" i="9"/>
  <c r="W49" i="9"/>
  <c r="J50" i="9"/>
  <c r="W50" i="9"/>
  <c r="L51" i="9"/>
  <c r="X51" i="9"/>
  <c r="L52" i="9"/>
  <c r="X52" i="9"/>
  <c r="K53" i="9"/>
  <c r="U53" i="9"/>
  <c r="F54" i="9"/>
  <c r="R54" i="9"/>
  <c r="M55" i="9"/>
  <c r="Y55" i="9"/>
  <c r="Y43" i="9"/>
  <c r="G45" i="9"/>
  <c r="N46" i="9"/>
  <c r="Z46" i="9"/>
  <c r="U47" i="9"/>
  <c r="K48" i="9"/>
  <c r="X48" i="9"/>
  <c r="K49" i="9"/>
  <c r="X49" i="9"/>
  <c r="M50" i="9"/>
  <c r="Y50" i="9"/>
  <c r="M51" i="9"/>
  <c r="Y51" i="9"/>
  <c r="M52" i="9"/>
  <c r="L53" i="9"/>
  <c r="V53" i="9"/>
  <c r="I54" i="9"/>
  <c r="S54" i="9"/>
  <c r="P55" i="9"/>
  <c r="S44" i="9"/>
  <c r="J45" i="9"/>
  <c r="Q46" i="9"/>
  <c r="H47" i="9"/>
  <c r="X47" i="9"/>
  <c r="L48" i="9"/>
  <c r="Y48" i="9"/>
  <c r="N49" i="9"/>
  <c r="N50" i="9"/>
  <c r="N51" i="9"/>
  <c r="O52" i="9"/>
  <c r="M53" i="9"/>
  <c r="W53" i="9"/>
  <c r="J54" i="9"/>
  <c r="T54" i="9"/>
  <c r="Z54" i="9"/>
  <c r="Q55" i="9"/>
  <c r="N43" i="9"/>
  <c r="Z43" i="9"/>
  <c r="U44" i="9"/>
  <c r="J47" i="9"/>
  <c r="O48" i="9"/>
  <c r="O49" i="9"/>
  <c r="O50" i="9"/>
  <c r="P51" i="9"/>
  <c r="P52" i="9"/>
  <c r="N53" i="9"/>
  <c r="K54" i="9"/>
  <c r="U54" i="9"/>
  <c r="H55" i="9"/>
  <c r="R55" i="9"/>
  <c r="V43" i="9"/>
  <c r="M44" i="9"/>
  <c r="R47" i="9"/>
  <c r="H48" i="9"/>
  <c r="T48" i="9"/>
  <c r="H49" i="9"/>
  <c r="V49" i="9"/>
  <c r="I50" i="9"/>
  <c r="V50" i="9"/>
  <c r="I51" i="9"/>
  <c r="V51" i="9"/>
  <c r="K52" i="9"/>
  <c r="W52" i="9"/>
  <c r="J53" i="9"/>
  <c r="T53" i="9"/>
  <c r="Z53" i="9"/>
  <c r="Q54" i="9"/>
  <c r="L55" i="9"/>
  <c r="X55" i="9"/>
  <c r="K44" i="9"/>
  <c r="G49" i="9"/>
  <c r="R50" i="9"/>
  <c r="Z51" i="9"/>
  <c r="G53" i="9"/>
  <c r="M54" i="9"/>
  <c r="S55" i="9"/>
  <c r="W44" i="9"/>
  <c r="I46" i="9"/>
  <c r="P49" i="9"/>
  <c r="U50" i="9"/>
  <c r="G52" i="9"/>
  <c r="O53" i="9"/>
  <c r="N54" i="9"/>
  <c r="T55" i="9"/>
  <c r="U46" i="9"/>
  <c r="G48" i="9"/>
  <c r="R49" i="9"/>
  <c r="Z50" i="9"/>
  <c r="H52" i="9"/>
  <c r="R53" i="9"/>
  <c r="V54" i="9"/>
  <c r="U55" i="9"/>
  <c r="H44" i="9"/>
  <c r="Z45" i="9"/>
  <c r="P47" i="9"/>
  <c r="F49" i="9"/>
  <c r="Q50" i="9"/>
  <c r="U51" i="9"/>
  <c r="F53" i="9"/>
  <c r="L54" i="9"/>
  <c r="K55" i="9"/>
  <c r="N45" i="9"/>
  <c r="Q48" i="9"/>
  <c r="H51" i="9"/>
  <c r="K42" i="9"/>
  <c r="O45" i="9"/>
  <c r="S48" i="9"/>
  <c r="Q51" i="9"/>
  <c r="R42" i="9"/>
  <c r="J42" i="9"/>
  <c r="R45" i="9"/>
  <c r="T51" i="9"/>
  <c r="Y42" i="9"/>
  <c r="Q42" i="9"/>
  <c r="I42" i="9"/>
  <c r="P42" i="9"/>
  <c r="P43" i="9"/>
  <c r="V46" i="9"/>
  <c r="S49" i="9"/>
  <c r="S52" i="9"/>
  <c r="Y54" i="9"/>
  <c r="X42" i="9"/>
  <c r="Q43" i="9"/>
  <c r="Y46" i="9"/>
  <c r="Z49" i="9"/>
  <c r="T52" i="9"/>
  <c r="W42" i="9"/>
  <c r="O42" i="9"/>
  <c r="G42" i="9"/>
  <c r="L47" i="9"/>
  <c r="F50" i="9"/>
  <c r="U52" i="9"/>
  <c r="I55" i="9"/>
  <c r="Z42" i="9"/>
  <c r="V42" i="9"/>
  <c r="N42" i="9"/>
  <c r="G44" i="9"/>
  <c r="M47" i="9"/>
  <c r="G50" i="9"/>
  <c r="Z52" i="9"/>
  <c r="J55" i="9"/>
  <c r="U42" i="9"/>
  <c r="M42" i="9"/>
  <c r="P48" i="9"/>
  <c r="F51" i="9"/>
  <c r="S53" i="9"/>
  <c r="T42" i="9"/>
  <c r="L42" i="9"/>
  <c r="B7" i="9"/>
  <c r="E7" i="9" s="1"/>
  <c r="B8" i="9"/>
  <c r="E8" i="9" s="1"/>
  <c r="B42" i="9"/>
  <c r="B48" i="9"/>
  <c r="B56" i="9"/>
  <c r="B64" i="9"/>
  <c r="B72" i="9"/>
  <c r="B80" i="9"/>
  <c r="B88" i="9"/>
  <c r="B96" i="9"/>
  <c r="B49" i="9"/>
  <c r="B57" i="9"/>
  <c r="B65" i="9"/>
  <c r="B73" i="9"/>
  <c r="B81" i="9"/>
  <c r="B89" i="9"/>
  <c r="B97" i="9"/>
  <c r="B50" i="9"/>
  <c r="B58" i="9"/>
  <c r="B66" i="9"/>
  <c r="B74" i="9"/>
  <c r="B82" i="9"/>
  <c r="B90" i="9"/>
  <c r="B51" i="9"/>
  <c r="B59" i="9"/>
  <c r="B67" i="9"/>
  <c r="B75" i="9"/>
  <c r="B83" i="9"/>
  <c r="B91" i="9"/>
  <c r="B52" i="9"/>
  <c r="B60" i="9"/>
  <c r="B68" i="9"/>
  <c r="B76" i="9"/>
  <c r="B84" i="9"/>
  <c r="B92" i="9"/>
  <c r="B53" i="9"/>
  <c r="B61" i="9"/>
  <c r="B69" i="9"/>
  <c r="B77" i="9"/>
  <c r="B85" i="9"/>
  <c r="B93" i="9"/>
  <c r="B46" i="9"/>
  <c r="B54" i="9"/>
  <c r="B62" i="9"/>
  <c r="B70" i="9"/>
  <c r="B78" i="9"/>
  <c r="B86" i="9"/>
  <c r="B94" i="9"/>
  <c r="B47" i="9"/>
  <c r="B55" i="9"/>
  <c r="B63" i="9"/>
  <c r="B71" i="9"/>
  <c r="B79" i="9"/>
  <c r="B87" i="9"/>
  <c r="B95" i="9"/>
  <c r="D10" i="9" l="1"/>
  <c r="E10" i="9"/>
  <c r="B5" i="11"/>
  <c r="B6" i="12" s="1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J19" i="12"/>
  <c r="R19" i="12"/>
  <c r="Z19" i="12"/>
  <c r="M20" i="12"/>
  <c r="U20" i="12"/>
  <c r="H21" i="12"/>
  <c r="P21" i="12"/>
  <c r="X21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K19" i="12"/>
  <c r="S19" i="12"/>
  <c r="F20" i="12"/>
  <c r="N20" i="12"/>
  <c r="V20" i="12"/>
  <c r="I21" i="12"/>
  <c r="Q21" i="12"/>
  <c r="Y21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M19" i="12"/>
  <c r="U19" i="12"/>
  <c r="H20" i="12"/>
  <c r="P20" i="12"/>
  <c r="X20" i="12"/>
  <c r="K21" i="12"/>
  <c r="S21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L19" i="12"/>
  <c r="T19" i="12"/>
  <c r="G20" i="12"/>
  <c r="O20" i="12"/>
  <c r="W20" i="12"/>
  <c r="J21" i="12"/>
  <c r="R21" i="12"/>
  <c r="Z21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N19" i="12"/>
  <c r="V19" i="12"/>
  <c r="I20" i="12"/>
  <c r="Q20" i="12"/>
  <c r="Y20" i="12"/>
  <c r="L21" i="12"/>
  <c r="T21" i="12"/>
  <c r="H6" i="12"/>
  <c r="P6" i="12"/>
  <c r="X6" i="12"/>
  <c r="K20" i="12"/>
  <c r="S20" i="12"/>
  <c r="F21" i="12"/>
  <c r="N21" i="12"/>
  <c r="V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G19" i="12"/>
  <c r="O19" i="12"/>
  <c r="W19" i="12"/>
  <c r="J20" i="12"/>
  <c r="R20" i="12"/>
  <c r="Z20" i="12"/>
  <c r="M21" i="12"/>
  <c r="U21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H19" i="12"/>
  <c r="P19" i="12"/>
  <c r="X19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I19" i="12"/>
  <c r="Q19" i="12"/>
  <c r="Y19" i="12"/>
  <c r="L20" i="12"/>
  <c r="T20" i="12"/>
  <c r="G21" i="12"/>
  <c r="O21" i="12"/>
  <c r="W21" i="12"/>
  <c r="K6" i="12"/>
  <c r="S6" i="12"/>
  <c r="F6" i="12"/>
  <c r="T6" i="12"/>
  <c r="C12" i="9"/>
  <c r="E12" i="9"/>
  <c r="C16" i="9"/>
  <c r="E16" i="9"/>
  <c r="D18" i="9"/>
  <c r="E18" i="9"/>
  <c r="B6" i="9"/>
  <c r="E6" i="9" s="1"/>
  <c r="C17" i="9"/>
  <c r="E17" i="9"/>
  <c r="C20" i="9"/>
  <c r="E20" i="9"/>
  <c r="C11" i="9"/>
  <c r="E11" i="9"/>
  <c r="C13" i="9"/>
  <c r="E13" i="9"/>
  <c r="C14" i="9"/>
  <c r="E14" i="9"/>
  <c r="C15" i="9"/>
  <c r="E15" i="9"/>
  <c r="C19" i="9"/>
  <c r="E19" i="9"/>
  <c r="C21" i="9"/>
  <c r="E21" i="9"/>
  <c r="D32" i="9"/>
  <c r="D31" i="9"/>
  <c r="D28" i="9"/>
  <c r="C37" i="9"/>
  <c r="C18" i="9"/>
  <c r="D16" i="9"/>
  <c r="C10" i="12"/>
  <c r="D10" i="12"/>
  <c r="D16" i="12"/>
  <c r="C16" i="12"/>
  <c r="C17" i="12"/>
  <c r="D17" i="12"/>
  <c r="C15" i="12"/>
  <c r="D15" i="12"/>
  <c r="C12" i="12"/>
  <c r="D12" i="12"/>
  <c r="C7" i="12"/>
  <c r="D7" i="12"/>
  <c r="C18" i="12"/>
  <c r="D18" i="12"/>
  <c r="C13" i="12"/>
  <c r="D13" i="12"/>
  <c r="C19" i="12"/>
  <c r="D19" i="12"/>
  <c r="C21" i="12"/>
  <c r="D21" i="12"/>
  <c r="C14" i="12"/>
  <c r="D14" i="12"/>
  <c r="D8" i="12"/>
  <c r="C8" i="12"/>
  <c r="C11" i="12"/>
  <c r="D11" i="12"/>
  <c r="D9" i="12"/>
  <c r="C9" i="12"/>
  <c r="C20" i="12"/>
  <c r="D20" i="12"/>
  <c r="D6" i="12"/>
  <c r="C9" i="9"/>
  <c r="D9" i="9"/>
  <c r="D14" i="9"/>
  <c r="D15" i="9"/>
  <c r="C10" i="9"/>
  <c r="D35" i="9"/>
  <c r="D38" i="9"/>
  <c r="D33" i="9"/>
  <c r="C33" i="9"/>
  <c r="B58" i="6"/>
  <c r="B23" i="9"/>
  <c r="C25" i="9"/>
  <c r="D24" i="9"/>
  <c r="D36" i="9"/>
  <c r="D8" i="9"/>
  <c r="C95" i="9"/>
  <c r="D95" i="9"/>
  <c r="C8" i="9"/>
  <c r="C7" i="9"/>
  <c r="D7" i="9"/>
  <c r="C6" i="9"/>
  <c r="D6" i="9"/>
  <c r="C81" i="9"/>
  <c r="D81" i="9"/>
  <c r="C54" i="9"/>
  <c r="D54" i="9"/>
  <c r="C73" i="9"/>
  <c r="D73" i="9"/>
  <c r="C92" i="9"/>
  <c r="D92" i="9"/>
  <c r="C65" i="9"/>
  <c r="D65" i="9"/>
  <c r="C93" i="9"/>
  <c r="D93" i="9"/>
  <c r="C66" i="9"/>
  <c r="D66" i="9"/>
  <c r="C67" i="9"/>
  <c r="D67" i="9"/>
  <c r="C86" i="9"/>
  <c r="D86" i="9"/>
  <c r="C79" i="9"/>
  <c r="D79" i="9"/>
  <c r="C70" i="9"/>
  <c r="D70" i="9"/>
  <c r="C61" i="9"/>
  <c r="D61" i="9"/>
  <c r="C52" i="9"/>
  <c r="D52" i="9"/>
  <c r="C43" i="9"/>
  <c r="D43" i="9"/>
  <c r="C89" i="9"/>
  <c r="D89" i="9"/>
  <c r="C80" i="9"/>
  <c r="D80" i="9"/>
  <c r="C45" i="9"/>
  <c r="D45" i="9"/>
  <c r="C62" i="9"/>
  <c r="D62" i="9"/>
  <c r="C44" i="9"/>
  <c r="D44" i="9"/>
  <c r="C72" i="9"/>
  <c r="D72" i="9"/>
  <c r="C91" i="9"/>
  <c r="D91" i="9"/>
  <c r="C64" i="9"/>
  <c r="D64" i="9"/>
  <c r="C83" i="9"/>
  <c r="D83" i="9"/>
  <c r="C47" i="9"/>
  <c r="D47" i="9"/>
  <c r="C84" i="9"/>
  <c r="D84" i="9"/>
  <c r="C48" i="9"/>
  <c r="D48" i="9"/>
  <c r="C85" i="9"/>
  <c r="D85" i="9"/>
  <c r="C49" i="9"/>
  <c r="D49" i="9"/>
  <c r="C42" i="9"/>
  <c r="D42" i="9"/>
  <c r="C53" i="9"/>
  <c r="D53" i="9"/>
  <c r="C90" i="9"/>
  <c r="D90" i="9"/>
  <c r="C46" i="9"/>
  <c r="D46" i="9"/>
  <c r="C56" i="9"/>
  <c r="D56" i="9"/>
  <c r="C57" i="9"/>
  <c r="D57" i="9"/>
  <c r="C58" i="9"/>
  <c r="D58" i="9"/>
  <c r="C77" i="9"/>
  <c r="D77" i="9"/>
  <c r="C68" i="9"/>
  <c r="D68" i="9"/>
  <c r="C59" i="9"/>
  <c r="D59" i="9"/>
  <c r="C50" i="9"/>
  <c r="D50" i="9"/>
  <c r="C96" i="9"/>
  <c r="D96" i="9"/>
  <c r="C71" i="9"/>
  <c r="D71" i="9"/>
  <c r="C63" i="9"/>
  <c r="D63" i="9"/>
  <c r="C82" i="9"/>
  <c r="D82" i="9"/>
  <c r="C55" i="9"/>
  <c r="D55" i="9"/>
  <c r="C74" i="9"/>
  <c r="D74" i="9"/>
  <c r="C75" i="9"/>
  <c r="D75" i="9"/>
  <c r="C94" i="9"/>
  <c r="D94" i="9"/>
  <c r="C76" i="9"/>
  <c r="D76" i="9"/>
  <c r="C87" i="9"/>
  <c r="D87" i="9"/>
  <c r="C78" i="9"/>
  <c r="D78" i="9"/>
  <c r="C69" i="9"/>
  <c r="D69" i="9"/>
  <c r="C60" i="9"/>
  <c r="D60" i="9"/>
  <c r="C51" i="9"/>
  <c r="D51" i="9"/>
  <c r="C97" i="9"/>
  <c r="D97" i="9"/>
  <c r="C88" i="9"/>
  <c r="D88" i="9"/>
  <c r="C6" i="12" l="1"/>
  <c r="D23" i="9"/>
  <c r="C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<sst xmlns="http://schemas.openxmlformats.org/spreadsheetml/2006/main" count="1078" uniqueCount="426">
  <si>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</si>
  <si>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</si>
  <si>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</si>
  <si>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</si>
  <si>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</si>
  <si>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</si>
  <si>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</si>
  <si>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</si>
  <si>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</si>
  <si>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</si>
  <si>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</si>
  <si>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</si>
  <si>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</si>
  <si>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</si>
  <si>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</si>
  <si>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</si>
  <si>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</si>
  <si>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</si>
  <si>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</si>
  <si>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</si>
  <si>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</si>
  <si>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</si>
  <si>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</si>
  <si>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</si>
  <si>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</si>
  <si>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</si>
  <si>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</si>
  <si>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</si>
  <si>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</si>
  <si>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</si>
  <si>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</si>
  <si>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</si>
  <si>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</si>
  <si>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</si>
  <si>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</si>
  <si>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</si>
  <si>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</si>
  <si>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</si>
  <si>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</si>
  <si>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</si>
  <si>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</si>
  <si>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</si>
  <si>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</si>
  <si>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</si>
  <si>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</si>
  <si>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</si>
  <si>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</si>
  <si>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</si>
  <si>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</si>
  <si>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</si>
  <si>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</si>
  <si>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</si>
  <si>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</si>
  <si>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</si>
  <si>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</si>
  <si>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</si>
  <si>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</si>
  <si>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</si>
  <si>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</si>
  <si>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</si>
  <si>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</si>
  <si>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</si>
  <si>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</si>
  <si>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</si>
  <si>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</si>
  <si>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</si>
  <si>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</si>
  <si>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</si>
  <si>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</si>
  <si>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</si>
  <si>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</si>
  <si>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</si>
  <si>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</si>
  <si>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</si>
  <si>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</si>
  <si>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</si>
  <si>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</si>
  <si>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</si>
  <si>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</si>
  <si>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</si>
  <si>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</si>
  <si>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</si>
  <si>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</si>
  <si>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</si>
  <si>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</si>
  <si>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</si>
  <si>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</si>
  <si>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</si>
  <si>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</si>
  <si>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</si>
  <si>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</si>
  <si>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</si>
  <si>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</si>
  <si>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</si>
  <si>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</si>
  <si>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</si>
  <si>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</si>
  <si>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</si>
  <si>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</si>
  <si>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</si>
  <si>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</si>
  <si>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</si>
  <si>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</si>
  <si>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</si>
  <si>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</si>
  <si>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</si>
  <si>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</si>
  <si>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</si>
  <si>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</si>
  <si>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</si>
  <si>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</si>
  <si>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</si>
  <si>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</si>
  <si>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</si>
  <si>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</si>
  <si>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</si>
  <si>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</si>
  <si>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</si>
  <si>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</si>
  <si>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</si>
  <si>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</si>
  <si>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</si>
  <si>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</si>
  <si>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</si>
  <si>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</si>
  <si>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</si>
  <si>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</si>
  <si>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</si>
  <si>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</si>
  <si>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</si>
  <si>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</si>
  <si>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</si>
  <si>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</si>
  <si>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</si>
  <si>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</si>
  <si>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</si>
  <si>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</si>
  <si>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</si>
  <si>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</si>
  <si>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</si>
  <si>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</si>
  <si>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</si>
  <si>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</si>
  <si>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</si>
  <si>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</si>
  <si>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</si>
  <si>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</si>
  <si>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</si>
  <si>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</si>
  <si>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</si>
  <si>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</si>
  <si>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</si>
  <si>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</si>
  <si>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</si>
  <si>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</si>
  <si>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</si>
  <si>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</si>
  <si>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</si>
  <si>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</si>
  <si>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</si>
  <si>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</si>
  <si>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</si>
  <si>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</si>
  <si>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</si>
  <si>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</si>
  <si>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</si>
  <si>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</si>
  <si>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</si>
  <si>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</si>
  <si>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</si>
  <si>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</si>
  <si>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</si>
  <si>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</si>
  <si>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</si>
  <si>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</si>
  <si>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</si>
  <si>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</si>
  <si>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</si>
  <si>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</si>
  <si>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</si>
  <si>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</si>
  <si>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</si>
  <si>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</si>
  <si>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</si>
  <si>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</si>
  <si>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</si>
  <si>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</si>
  <si>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</si>
  <si>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</si>
  <si>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</si>
  <si>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</si>
  <si>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</si>
  <si>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</si>
  <si>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</si>
  <si>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</si>
  <si>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</si>
  <si>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</si>
  <si>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</si>
  <si>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</si>
  <si>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</si>
  <si>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</si>
  <si>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</si>
  <si>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</si>
  <si>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</si>
  <si>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</si>
  <si>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</si>
  <si>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</si>
  <si>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</si>
  <si>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</si>
  <si>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</si>
  <si>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</si>
  <si>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</si>
  <si>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</si>
  <si>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</si>
  <si>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</si>
  <si>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</si>
  <si>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</si>
  <si>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</si>
  <si>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</si>
  <si>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</si>
  <si>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</si>
  <si>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</si>
  <si>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</si>
  <si>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</si>
  <si>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</si>
  <si>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</si>
  <si>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</si>
  <si>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</si>
  <si>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</si>
  <si>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</si>
  <si>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</si>
  <si>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</si>
  <si>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</si>
  <si>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</si>
  <si>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</si>
  <si>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</si>
  <si>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</si>
  <si>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</si>
  <si>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</si>
  <si>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</si>
  <si>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</si>
  <si>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</si>
  <si>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</si>
  <si>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</si>
  <si>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</si>
  <si>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</si>
  <si>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</si>
  <si>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</si>
  <si>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</si>
  <si>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</si>
  <si>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</si>
  <si>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</si>
  <si>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</si>
  <si>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</si>
  <si>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</si>
  <si>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</si>
  <si>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</si>
  <si>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</si>
  <si>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</si>
  <si>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</si>
  <si>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</si>
  <si>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</si>
  <si>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</si>
  <si>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</si>
  <si>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</si>
  <si>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</si>
  <si>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</si>
  <si>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</si>
  <si>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</si>
  <si>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</si>
  <si>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</si>
  <si>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</si>
  <si>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</si>
  <si>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</si>
  <si>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</si>
  <si>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</si>
  <si>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</si>
  <si>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</si>
  <si>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</si>
  <si>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</si>
  <si>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</si>
  <si>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</si>
  <si>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</si>
  <si>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</si>
  <si>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</si>
  <si>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</si>
  <si>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</si>
  <si>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</si>
  <si>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</si>
  <si>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</si>
  <si>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</si>
  <si>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</si>
  <si>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</si>
  <si>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</si>
  <si>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</si>
  <si>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</si>
  <si>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</si>
  <si>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</si>
  <si>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</si>
  <si>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</si>
  <si>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</si>
  <si>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</si>
  <si>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</si>
  <si>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</si>
  <si>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</si>
  <si>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</si>
  <si>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</si>
  <si>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</si>
  <si>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</si>
  <si>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</si>
  <si>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</si>
  <si>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</si>
  <si>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</si>
  <si>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</si>
  <si>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</si>
  <si>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</si>
  <si>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</si>
  <si>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</si>
  <si>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</si>
  <si>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</si>
  <si>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</si>
  <si>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</si>
  <si>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</si>
  <si>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</si>
  <si>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</si>
  <si>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</si>
  <si>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</si>
  <si>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</si>
  <si>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</si>
  <si>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</si>
  <si>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</si>
  <si>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</si>
  <si>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</si>
  <si>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</si>
  <si>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</si>
  <si>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</si>
  <si>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</si>
  <si>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</si>
  <si>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</si>
  <si>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</si>
  <si>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</si>
  <si>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</si>
  <si>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</si>
  <si>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</si>
  <si>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</si>
  <si>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</si>
  <si>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</si>
  <si>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</si>
  <si>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</si>
  <si>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</si>
  <si>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</si>
  <si>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</si>
  <si>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</si>
  <si>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</si>
  <si>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</si>
  <si>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</si>
  <si>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</si>
  <si>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</si>
  <si>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</si>
  <si>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</si>
  <si>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</si>
  <si>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</si>
  <si>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</si>
  <si>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</si>
  <si>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</si>
  <si>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</si>
  <si>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</si>
  <si>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</si>
  <si>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</si>
  <si>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</si>
  <si>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</si>
  <si>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</si>
  <si>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</si>
  <si>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</si>
  <si>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</si>
  <si>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</si>
  <si>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</si>
  <si>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</si>
  <si>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</si>
  <si>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</si>
  <si>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</si>
  <si>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</si>
  <si>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</si>
  <si>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</si>
  <si>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</si>
  <si>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</si>
  <si>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</si>
  <si>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</si>
  <si>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</si>
  <si>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</si>
  <si>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</si>
  <si>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</si>
  <si>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</si>
  <si>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</si>
  <si>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</si>
  <si>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</si>
  <si>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</si>
  <si>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</si>
  <si>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</si>
  <si>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</si>
  <si>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</si>
  <si>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</si>
  <si>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</si>
  <si>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</si>
  <si>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</si>
  <si>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</si>
  <si>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</si>
  <si>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</si>
  <si>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</si>
  <si>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</si>
  <si>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</si>
  <si>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</si>
  <si>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</si>
  <si>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</si>
  <si>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</si>
  <si>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</si>
  <si>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</si>
  <si>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</si>
  <si>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</si>
  <si>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TLM_Ulix1990</t>
  </si>
  <si>
    <t>TLM-Ocior78</t>
  </si>
  <si>
    <t>TLM Verce90</t>
  </si>
  <si>
    <t>naz</t>
  </si>
  <si>
    <t>it</t>
  </si>
  <si>
    <t>de</t>
  </si>
  <si>
    <t>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</si>
</sst>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6" fillId="12" borderId="18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3"/>
  <sheetViews>
    <sheetView zoomScale="94" zoomScaleNormal="94" workbookViewId="0">
      <selection activeCell="H7" sqref="H7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89" t="s">
        <v>416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59" ht="22" customHeight="1" x14ac:dyDescent="0.2">
      <c r="A2" s="88" t="s">
        <v>0</v>
      </c>
      <c r="B2" s="94" t="s">
        <v>14</v>
      </c>
      <c r="C2" s="96" t="s">
        <v>411</v>
      </c>
      <c r="D2" s="97"/>
      <c r="E2" s="97"/>
      <c r="F2" s="98"/>
      <c r="G2" s="96" t="s">
        <v>412</v>
      </c>
      <c r="H2" s="97"/>
      <c r="I2" s="97"/>
      <c r="J2" s="98"/>
      <c r="K2" s="96" t="s">
        <v>413</v>
      </c>
      <c r="L2" s="97"/>
      <c r="M2" s="97"/>
      <c r="N2" s="98"/>
      <c r="O2" s="96" t="s">
        <v>414</v>
      </c>
      <c r="P2" s="97"/>
      <c r="Q2" s="97"/>
      <c r="R2" s="98"/>
      <c r="S2" s="96" t="s">
        <v>415</v>
      </c>
      <c r="T2" s="97"/>
      <c r="U2" s="97"/>
      <c r="V2" s="98"/>
      <c r="W2" s="95" t="s">
        <v>33</v>
      </c>
    </row>
    <row r="3" spans="1:59" ht="22" customHeight="1" x14ac:dyDescent="0.2">
      <c r="A3" s="88"/>
      <c r="B3" s="94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5"/>
    </row>
    <row r="4" spans="1:59" ht="19" customHeight="1" x14ac:dyDescent="0.2">
      <c r="A4" s="90" t="s">
        <v>29</v>
      </c>
      <c r="B4" s="91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/>
      <c r="E5" s="12"/>
      <c r="F5" s="39">
        <f>SUM(C5:E5)</f>
        <v>0</v>
      </c>
      <c r="G5" s="12"/>
      <c r="H5" s="12"/>
      <c r="I5" s="12"/>
      <c r="J5" s="39">
        <f>SUM(G5:I5)</f>
        <v>0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0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/>
      <c r="E6" s="20"/>
      <c r="F6" s="39">
        <f t="shared" ref="F6:F20" si="0">SUM(C6:E6)</f>
        <v>0</v>
      </c>
      <c r="G6" s="20"/>
      <c r="H6" s="20"/>
      <c r="I6" s="20"/>
      <c r="J6" s="39">
        <f t="shared" ref="J6:J20" si="1">SUM(G6:I6)</f>
        <v>0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0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/>
      <c r="H7" s="12"/>
      <c r="I7" s="12"/>
      <c r="J7" s="39">
        <f t="shared" si="1"/>
        <v>0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0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/>
      <c r="I8" s="12"/>
      <c r="J8" s="39">
        <f t="shared" si="1"/>
        <v>0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/>
      <c r="E9" s="20"/>
      <c r="F9" s="39">
        <f t="shared" si="0"/>
        <v>0</v>
      </c>
      <c r="G9" s="40"/>
      <c r="H9" s="20"/>
      <c r="I9" s="20"/>
      <c r="J9" s="39">
        <f t="shared" si="1"/>
        <v>0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0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/>
      <c r="I10" s="12"/>
      <c r="J10" s="39">
        <f t="shared" si="1"/>
        <v>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/>
      <c r="D11" s="12"/>
      <c r="E11" s="12"/>
      <c r="F11" s="39">
        <f t="shared" si="0"/>
        <v>0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0</v>
      </c>
      <c r="AB11">
        <v>8</v>
      </c>
      <c r="AC11">
        <v>8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/>
      <c r="E12" s="12"/>
      <c r="F12" s="39">
        <f t="shared" si="0"/>
        <v>0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0</v>
      </c>
      <c r="AB12">
        <v>9</v>
      </c>
      <c r="AC12">
        <v>6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/>
      <c r="E13" s="12"/>
      <c r="F13" s="39">
        <f t="shared" si="0"/>
        <v>0</v>
      </c>
      <c r="G13" s="12"/>
      <c r="H13" s="12"/>
      <c r="I13" s="12"/>
      <c r="J13" s="39">
        <f t="shared" si="1"/>
        <v>0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0</v>
      </c>
      <c r="AB13">
        <v>10</v>
      </c>
      <c r="AC13">
        <v>5</v>
      </c>
    </row>
    <row r="14" spans="1:59" ht="19" customHeight="1" x14ac:dyDescent="0.25">
      <c r="A14" s="28" t="s">
        <v>11</v>
      </c>
      <c r="B14" s="43" t="s">
        <v>97</v>
      </c>
      <c r="C14" s="12"/>
      <c r="D14" s="12"/>
      <c r="E14" s="12"/>
      <c r="F14" s="39">
        <f t="shared" si="0"/>
        <v>0</v>
      </c>
      <c r="G14" s="12"/>
      <c r="H14" s="12"/>
      <c r="I14" s="12"/>
      <c r="J14" s="39">
        <f t="shared" si="1"/>
        <v>0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0</v>
      </c>
      <c r="AB14">
        <v>11</v>
      </c>
      <c r="AC14">
        <v>4</v>
      </c>
    </row>
    <row r="15" spans="1:59" ht="19" customHeight="1" x14ac:dyDescent="0.25">
      <c r="A15" s="28" t="s">
        <v>12</v>
      </c>
      <c r="B15" s="43" t="s">
        <v>62</v>
      </c>
      <c r="C15" s="40"/>
      <c r="D15" s="20"/>
      <c r="E15" s="20"/>
      <c r="F15" s="39">
        <f t="shared" si="0"/>
        <v>0</v>
      </c>
      <c r="G15" s="40"/>
      <c r="H15" s="20"/>
      <c r="I15" s="20"/>
      <c r="J15" s="39">
        <f t="shared" si="1"/>
        <v>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0</v>
      </c>
      <c r="AB15">
        <v>12</v>
      </c>
      <c r="AC15">
        <v>3</v>
      </c>
    </row>
    <row r="16" spans="1:59" ht="19" customHeight="1" x14ac:dyDescent="0.25">
      <c r="A16" s="28" t="s">
        <v>13</v>
      </c>
      <c r="B16" s="43" t="s">
        <v>123</v>
      </c>
      <c r="C16" s="12"/>
      <c r="D16" s="12"/>
      <c r="E16" s="12"/>
      <c r="F16" s="39">
        <f t="shared" si="0"/>
        <v>0</v>
      </c>
      <c r="G16" s="12"/>
      <c r="H16" s="12"/>
      <c r="I16" s="12"/>
      <c r="J16" s="39">
        <f t="shared" si="1"/>
        <v>0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0</v>
      </c>
      <c r="AB16">
        <v>13</v>
      </c>
      <c r="AC16">
        <v>2</v>
      </c>
    </row>
    <row r="17" spans="1:16354" ht="19" customHeight="1" x14ac:dyDescent="0.25">
      <c r="A17" s="29" t="s">
        <v>20</v>
      </c>
      <c r="B17" s="43" t="s">
        <v>418</v>
      </c>
      <c r="C17" s="12"/>
      <c r="D17" s="12"/>
      <c r="E17" s="12"/>
      <c r="F17" s="39">
        <f t="shared" si="0"/>
        <v>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0</v>
      </c>
    </row>
    <row r="18" spans="1:16354" ht="19" customHeight="1" x14ac:dyDescent="0.25">
      <c r="A18" s="29" t="s">
        <v>21</v>
      </c>
      <c r="B18" s="43" t="s">
        <v>65</v>
      </c>
      <c r="C18" s="12"/>
      <c r="D18" s="12"/>
      <c r="E18" s="12"/>
      <c r="F18" s="39">
        <f t="shared" si="0"/>
        <v>0</v>
      </c>
      <c r="G18" s="12"/>
      <c r="H18" s="12"/>
      <c r="I18" s="12"/>
      <c r="J18" s="39">
        <f t="shared" si="1"/>
        <v>0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0</v>
      </c>
    </row>
    <row r="19" spans="1:16354" ht="19" customHeight="1" x14ac:dyDescent="0.25">
      <c r="A19" s="29" t="s">
        <v>409</v>
      </c>
      <c r="B19" s="43" t="s">
        <v>395</v>
      </c>
      <c r="C19" s="20"/>
      <c r="D19" s="20"/>
      <c r="E19" s="20"/>
      <c r="F19" s="39">
        <f t="shared" si="0"/>
        <v>0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0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44" t="s">
        <v>63</v>
      </c>
      <c r="C20" s="20"/>
      <c r="D20" s="20"/>
      <c r="E20" s="20"/>
      <c r="F20" s="39">
        <f t="shared" si="0"/>
        <v>0</v>
      </c>
      <c r="G20" s="20"/>
      <c r="H20" s="20"/>
      <c r="I20" s="20"/>
      <c r="J20" s="39">
        <f t="shared" si="1"/>
        <v>0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0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">
      <c r="A21" s="92" t="s">
        <v>30</v>
      </c>
      <c r="B21" s="93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AB21" t="s">
        <v>41</v>
      </c>
      <c r="AC21">
        <v>1</v>
      </c>
    </row>
    <row r="22" spans="1:16354" ht="19" customHeight="1" x14ac:dyDescent="0.25">
      <c r="A22" s="3" t="s">
        <v>2</v>
      </c>
      <c r="B22" s="43" t="s">
        <v>397</v>
      </c>
      <c r="C22" s="12"/>
      <c r="D22" s="12"/>
      <c r="E22" s="12"/>
      <c r="F22" s="39">
        <f>SUM(C22:E22)</f>
        <v>0</v>
      </c>
      <c r="G22" s="12"/>
      <c r="H22" s="12"/>
      <c r="I22" s="12"/>
      <c r="J22" s="39">
        <f>SUM(G22:I22)</f>
        <v>0</v>
      </c>
      <c r="K22" s="12"/>
      <c r="L22" s="12"/>
      <c r="M22" s="12"/>
      <c r="N22" s="39">
        <f>SUM(K22:M22)</f>
        <v>0</v>
      </c>
      <c r="O22" s="12"/>
      <c r="P22" s="12"/>
      <c r="Q22" s="12"/>
      <c r="R22" s="39">
        <f>SUM(O22:Q22)</f>
        <v>0</v>
      </c>
      <c r="S22" s="12"/>
      <c r="T22" s="12"/>
      <c r="U22" s="12"/>
      <c r="V22" s="39">
        <f>SUM(S22:U22)</f>
        <v>0</v>
      </c>
      <c r="W22" s="24">
        <f>SUM(C22:E22,G22:I22,K22:M22,O22:Q22,S22:U22)</f>
        <v>0</v>
      </c>
    </row>
    <row r="23" spans="1:16354" ht="19" customHeight="1" x14ac:dyDescent="0.25">
      <c r="A23" s="4" t="s">
        <v>3</v>
      </c>
      <c r="B23" s="43" t="s">
        <v>399</v>
      </c>
      <c r="C23" s="20"/>
      <c r="D23" s="20"/>
      <c r="E23" s="20"/>
      <c r="F23" s="39">
        <f t="shared" ref="F23:F37" si="13">SUM(C23:E23)</f>
        <v>0</v>
      </c>
      <c r="G23" s="20"/>
      <c r="H23" s="20"/>
      <c r="I23" s="20"/>
      <c r="J23" s="39">
        <f t="shared" ref="J23:J37" si="14">SUM(G23:I23)</f>
        <v>0</v>
      </c>
      <c r="K23" s="20"/>
      <c r="L23" s="20"/>
      <c r="M23" s="20"/>
      <c r="N23" s="39">
        <f t="shared" ref="N23:N37" si="15">SUM(K23:M23)</f>
        <v>0</v>
      </c>
      <c r="O23" s="20"/>
      <c r="P23" s="20"/>
      <c r="Q23" s="20"/>
      <c r="R23" s="39">
        <f t="shared" ref="R23:R37" si="16">SUM(O23:Q23)</f>
        <v>0</v>
      </c>
      <c r="S23" s="20"/>
      <c r="T23" s="20"/>
      <c r="U23" s="20"/>
      <c r="V23" s="39">
        <f t="shared" ref="V23:V37" si="17">SUM(S23:U23)</f>
        <v>0</v>
      </c>
      <c r="W23" s="24">
        <f t="shared" ref="W23:W37" si="18">SUM(C23:E23,G23:I23,K23:M23,O23:Q23,S23:U23)</f>
        <v>0</v>
      </c>
      <c r="Z23" s="43" t="s">
        <v>46</v>
      </c>
      <c r="AA23" s="12"/>
      <c r="AB23" s="12">
        <v>12</v>
      </c>
      <c r="AC23" s="12"/>
      <c r="AD23" s="39">
        <f t="shared" ref="AD23" si="19">SUM(AA23:AC23)</f>
        <v>12</v>
      </c>
      <c r="AE23" s="12"/>
      <c r="AF23" s="12">
        <v>16</v>
      </c>
      <c r="AG23" s="12"/>
      <c r="AH23" s="39">
        <f t="shared" ref="AH23" si="20">SUM(AE23:AG23)</f>
        <v>16</v>
      </c>
      <c r="AI23" s="20"/>
      <c r="AJ23" s="20">
        <v>14</v>
      </c>
      <c r="AK23" s="20"/>
      <c r="AL23" s="39">
        <f t="shared" ref="AL23" si="21">SUM(AI23:AK23)</f>
        <v>14</v>
      </c>
      <c r="AM23" s="12"/>
      <c r="AN23" s="12">
        <v>8</v>
      </c>
      <c r="AO23" s="12"/>
      <c r="AP23" s="39">
        <f t="shared" ref="AP23" si="22">SUM(AM23:AO23)</f>
        <v>8</v>
      </c>
      <c r="AQ23" s="12"/>
      <c r="AR23" s="12"/>
      <c r="AS23" s="12"/>
      <c r="AT23" s="39">
        <f t="shared" ref="AT23" si="23">SUM(AQ23:AS23)</f>
        <v>0</v>
      </c>
      <c r="AU23" s="12"/>
      <c r="AV23" s="12"/>
      <c r="AW23" s="12"/>
      <c r="AX23" s="39">
        <f t="shared" ref="AX23" si="24">SUM(AU23:AW23)</f>
        <v>0</v>
      </c>
      <c r="AY23" s="24">
        <f t="shared" ref="AY23" si="25">SUM(AA23:AC23,AE23:AG23,AI23:AK23,AM23:AO23,AQ23:AS23,AU23:AW23)</f>
        <v>50</v>
      </c>
    </row>
    <row r="24" spans="1:16354" ht="19" customHeight="1" x14ac:dyDescent="0.25">
      <c r="A24" s="5" t="s">
        <v>4</v>
      </c>
      <c r="B24" s="43" t="s">
        <v>71</v>
      </c>
      <c r="C24" s="12"/>
      <c r="D24" s="12"/>
      <c r="E24" s="12"/>
      <c r="F24" s="39">
        <f t="shared" si="13"/>
        <v>0</v>
      </c>
      <c r="G24" s="12"/>
      <c r="H24" s="12"/>
      <c r="I24" s="12"/>
      <c r="J24" s="39">
        <f t="shared" si="14"/>
        <v>0</v>
      </c>
      <c r="K24" s="12"/>
      <c r="L24" s="12"/>
      <c r="M24" s="12"/>
      <c r="N24" s="39">
        <f t="shared" si="15"/>
        <v>0</v>
      </c>
      <c r="O24" s="12"/>
      <c r="P24" s="12"/>
      <c r="Q24" s="12"/>
      <c r="R24" s="39">
        <f t="shared" si="16"/>
        <v>0</v>
      </c>
      <c r="S24" s="12"/>
      <c r="T24" s="12"/>
      <c r="U24" s="12"/>
      <c r="V24" s="39">
        <f t="shared" si="17"/>
        <v>0</v>
      </c>
      <c r="W24" s="24">
        <f t="shared" si="18"/>
        <v>0</v>
      </c>
    </row>
    <row r="25" spans="1:16354" ht="19" customHeight="1" x14ac:dyDescent="0.25">
      <c r="A25" s="5" t="s">
        <v>5</v>
      </c>
      <c r="B25" s="43" t="s">
        <v>395</v>
      </c>
      <c r="C25" s="12"/>
      <c r="D25" s="12"/>
      <c r="E25" s="12"/>
      <c r="F25" s="39">
        <f t="shared" si="13"/>
        <v>0</v>
      </c>
      <c r="G25" s="12"/>
      <c r="H25" s="12"/>
      <c r="I25" s="12"/>
      <c r="J25" s="39">
        <f t="shared" si="14"/>
        <v>0</v>
      </c>
      <c r="K25" s="12"/>
      <c r="L25" s="12"/>
      <c r="M25" s="12"/>
      <c r="N25" s="39">
        <f t="shared" si="15"/>
        <v>0</v>
      </c>
      <c r="O25" s="12"/>
      <c r="P25" s="12"/>
      <c r="Q25" s="12"/>
      <c r="R25" s="39">
        <f t="shared" si="16"/>
        <v>0</v>
      </c>
      <c r="S25" s="12"/>
      <c r="T25" s="12"/>
      <c r="U25" s="12"/>
      <c r="V25" s="39">
        <f t="shared" si="17"/>
        <v>0</v>
      </c>
      <c r="W25" s="24">
        <f t="shared" si="18"/>
        <v>0</v>
      </c>
    </row>
    <row r="26" spans="1:16354" ht="19" customHeight="1" x14ac:dyDescent="0.25">
      <c r="A26" s="5" t="s">
        <v>6</v>
      </c>
      <c r="B26" s="43" t="s">
        <v>48</v>
      </c>
      <c r="C26" s="40"/>
      <c r="D26" s="20"/>
      <c r="E26" s="20"/>
      <c r="F26" s="39">
        <f t="shared" si="13"/>
        <v>0</v>
      </c>
      <c r="G26" s="40"/>
      <c r="H26" s="20"/>
      <c r="I26" s="20"/>
      <c r="J26" s="39">
        <f t="shared" si="14"/>
        <v>0</v>
      </c>
      <c r="K26" s="40"/>
      <c r="L26" s="20"/>
      <c r="M26" s="20"/>
      <c r="N26" s="39">
        <f t="shared" si="15"/>
        <v>0</v>
      </c>
      <c r="O26" s="40"/>
      <c r="P26" s="20"/>
      <c r="Q26" s="20"/>
      <c r="R26" s="39">
        <f t="shared" si="16"/>
        <v>0</v>
      </c>
      <c r="S26" s="40"/>
      <c r="T26" s="20"/>
      <c r="U26" s="20"/>
      <c r="V26" s="39">
        <f t="shared" si="17"/>
        <v>0</v>
      </c>
      <c r="W26" s="24">
        <f t="shared" si="18"/>
        <v>0</v>
      </c>
      <c r="Z26" s="43"/>
      <c r="AA26" s="12"/>
      <c r="AB26" s="12"/>
      <c r="AC26" s="12"/>
      <c r="AD26" s="39"/>
      <c r="AE26" s="12"/>
      <c r="AF26" s="12"/>
      <c r="AG26" s="12"/>
      <c r="AH26" s="39"/>
      <c r="AI26" s="20"/>
      <c r="AJ26" s="20"/>
      <c r="AK26" s="20"/>
      <c r="AL26" s="39"/>
      <c r="AM26" s="12"/>
      <c r="AN26" s="12"/>
      <c r="AO26" s="12"/>
      <c r="AP26" s="39"/>
      <c r="AQ26" s="20"/>
      <c r="AR26" s="20"/>
      <c r="AS26" s="20"/>
      <c r="AT26" s="39"/>
      <c r="AU26" s="12"/>
      <c r="AV26" s="12"/>
      <c r="AW26" s="12"/>
      <c r="AX26" s="39"/>
      <c r="AY26" s="24"/>
    </row>
    <row r="27" spans="1:16354" ht="19" customHeight="1" x14ac:dyDescent="0.25">
      <c r="A27" s="5" t="s">
        <v>7</v>
      </c>
      <c r="B27" s="43" t="s">
        <v>43</v>
      </c>
      <c r="C27" s="12"/>
      <c r="D27" s="12"/>
      <c r="E27" s="12"/>
      <c r="F27" s="39">
        <f t="shared" si="13"/>
        <v>0</v>
      </c>
      <c r="G27" s="12"/>
      <c r="H27" s="12"/>
      <c r="I27" s="12"/>
      <c r="J27" s="39">
        <f t="shared" si="14"/>
        <v>0</v>
      </c>
      <c r="K27" s="12"/>
      <c r="L27" s="12"/>
      <c r="M27" s="12"/>
      <c r="N27" s="39">
        <f t="shared" si="15"/>
        <v>0</v>
      </c>
      <c r="O27" s="12"/>
      <c r="P27" s="12"/>
      <c r="Q27" s="12"/>
      <c r="R27" s="39">
        <f t="shared" si="16"/>
        <v>0</v>
      </c>
      <c r="S27" s="12"/>
      <c r="T27" s="12"/>
      <c r="U27" s="12"/>
      <c r="V27" s="39">
        <f t="shared" si="17"/>
        <v>0</v>
      </c>
      <c r="W27" s="24">
        <f t="shared" si="18"/>
        <v>0</v>
      </c>
    </row>
    <row r="28" spans="1:16354" ht="19" customHeight="1" x14ac:dyDescent="0.25">
      <c r="A28" s="5" t="s">
        <v>8</v>
      </c>
      <c r="B28" s="43" t="s">
        <v>39</v>
      </c>
      <c r="C28" s="12"/>
      <c r="D28" s="12"/>
      <c r="E28" s="12"/>
      <c r="F28" s="39">
        <f t="shared" si="13"/>
        <v>0</v>
      </c>
      <c r="G28" s="12"/>
      <c r="H28" s="12"/>
      <c r="I28" s="12"/>
      <c r="J28" s="39">
        <f t="shared" si="14"/>
        <v>0</v>
      </c>
      <c r="K28" s="12"/>
      <c r="L28" s="12"/>
      <c r="M28" s="12"/>
      <c r="N28" s="39">
        <f t="shared" si="15"/>
        <v>0</v>
      </c>
      <c r="O28" s="12"/>
      <c r="P28" s="12"/>
      <c r="Q28" s="12"/>
      <c r="R28" s="39">
        <f t="shared" si="16"/>
        <v>0</v>
      </c>
      <c r="S28" s="12"/>
      <c r="T28" s="12"/>
      <c r="U28" s="12"/>
      <c r="V28" s="39">
        <f t="shared" si="17"/>
        <v>0</v>
      </c>
      <c r="W28" s="24">
        <f t="shared" si="18"/>
        <v>0</v>
      </c>
    </row>
    <row r="29" spans="1:16354" ht="19" customHeight="1" x14ac:dyDescent="0.25">
      <c r="A29" s="36" t="s">
        <v>9</v>
      </c>
      <c r="B29" s="43" t="s">
        <v>366</v>
      </c>
      <c r="C29" s="12"/>
      <c r="D29" s="12"/>
      <c r="E29" s="12"/>
      <c r="F29" s="39">
        <f t="shared" si="13"/>
        <v>0</v>
      </c>
      <c r="G29" s="12"/>
      <c r="H29" s="12"/>
      <c r="I29" s="12"/>
      <c r="J29" s="39">
        <f t="shared" si="14"/>
        <v>0</v>
      </c>
      <c r="K29" s="12"/>
      <c r="L29" s="12"/>
      <c r="M29" s="12"/>
      <c r="N29" s="39">
        <f t="shared" si="15"/>
        <v>0</v>
      </c>
      <c r="O29" s="12"/>
      <c r="P29" s="12"/>
      <c r="Q29" s="12"/>
      <c r="R29" s="39">
        <f t="shared" si="16"/>
        <v>0</v>
      </c>
      <c r="S29" s="12"/>
      <c r="T29" s="12"/>
      <c r="U29" s="12"/>
      <c r="V29" s="39">
        <f t="shared" si="17"/>
        <v>0</v>
      </c>
      <c r="W29" s="24">
        <f t="shared" si="18"/>
        <v>0</v>
      </c>
    </row>
    <row r="30" spans="1:16354" ht="19" customHeight="1" x14ac:dyDescent="0.25">
      <c r="A30" s="5" t="s">
        <v>10</v>
      </c>
      <c r="B30" s="43" t="s">
        <v>403</v>
      </c>
      <c r="C30" s="12"/>
      <c r="D30" s="12"/>
      <c r="E30" s="12"/>
      <c r="F30" s="39">
        <f t="shared" si="13"/>
        <v>0</v>
      </c>
      <c r="G30" s="12"/>
      <c r="H30" s="12"/>
      <c r="I30" s="12"/>
      <c r="J30" s="39">
        <f t="shared" si="14"/>
        <v>0</v>
      </c>
      <c r="K30" s="12"/>
      <c r="L30" s="12"/>
      <c r="M30" s="12"/>
      <c r="N30" s="39">
        <f t="shared" si="15"/>
        <v>0</v>
      </c>
      <c r="O30" s="12"/>
      <c r="P30" s="12"/>
      <c r="Q30" s="12"/>
      <c r="R30" s="39">
        <f t="shared" si="16"/>
        <v>0</v>
      </c>
      <c r="S30" s="12"/>
      <c r="T30" s="12"/>
      <c r="U30" s="12"/>
      <c r="V30" s="39">
        <f t="shared" si="17"/>
        <v>0</v>
      </c>
      <c r="W30" s="24">
        <f t="shared" si="18"/>
        <v>0</v>
      </c>
    </row>
    <row r="31" spans="1:16354" ht="19" customHeight="1" x14ac:dyDescent="0.25">
      <c r="A31" s="5" t="s">
        <v>11</v>
      </c>
      <c r="B31" s="43" t="s">
        <v>78</v>
      </c>
      <c r="C31" s="12"/>
      <c r="D31" s="12"/>
      <c r="E31" s="12"/>
      <c r="F31" s="39">
        <f t="shared" si="13"/>
        <v>0</v>
      </c>
      <c r="G31" s="12"/>
      <c r="H31" s="12"/>
      <c r="I31" s="12"/>
      <c r="J31" s="39">
        <f t="shared" si="14"/>
        <v>0</v>
      </c>
      <c r="K31" s="12"/>
      <c r="L31" s="12"/>
      <c r="M31" s="12"/>
      <c r="N31" s="39">
        <f t="shared" si="15"/>
        <v>0</v>
      </c>
      <c r="O31" s="12"/>
      <c r="P31" s="12"/>
      <c r="Q31" s="12"/>
      <c r="R31" s="39">
        <f t="shared" si="16"/>
        <v>0</v>
      </c>
      <c r="S31" s="12"/>
      <c r="T31" s="12"/>
      <c r="U31" s="12"/>
      <c r="V31" s="39">
        <f t="shared" si="17"/>
        <v>0</v>
      </c>
      <c r="W31" s="24">
        <f t="shared" si="18"/>
        <v>0</v>
      </c>
    </row>
    <row r="32" spans="1:16354" ht="19" customHeight="1" x14ac:dyDescent="0.25">
      <c r="A32" s="5" t="s">
        <v>12</v>
      </c>
      <c r="B32" s="43" t="s">
        <v>406</v>
      </c>
      <c r="C32" s="40"/>
      <c r="D32" s="20"/>
      <c r="E32" s="20"/>
      <c r="F32" s="39">
        <f t="shared" si="13"/>
        <v>0</v>
      </c>
      <c r="G32" s="40"/>
      <c r="H32" s="20"/>
      <c r="I32" s="20"/>
      <c r="J32" s="39">
        <f t="shared" si="14"/>
        <v>0</v>
      </c>
      <c r="K32" s="40"/>
      <c r="L32" s="20"/>
      <c r="M32" s="20"/>
      <c r="N32" s="39">
        <f t="shared" si="15"/>
        <v>0</v>
      </c>
      <c r="O32" s="40"/>
      <c r="P32" s="20"/>
      <c r="Q32" s="20"/>
      <c r="R32" s="39">
        <f t="shared" si="16"/>
        <v>0</v>
      </c>
      <c r="S32" s="40"/>
      <c r="T32" s="20"/>
      <c r="U32" s="20"/>
      <c r="V32" s="39">
        <f t="shared" si="17"/>
        <v>0</v>
      </c>
      <c r="W32" s="24">
        <f t="shared" si="18"/>
        <v>0</v>
      </c>
      <c r="AH32" t="s">
        <v>242</v>
      </c>
    </row>
    <row r="33" spans="1:31" ht="19" customHeight="1" x14ac:dyDescent="0.25">
      <c r="A33" s="5" t="s">
        <v>13</v>
      </c>
      <c r="B33" s="43" t="s">
        <v>393</v>
      </c>
      <c r="C33" s="12"/>
      <c r="D33" s="12"/>
      <c r="E33" s="12"/>
      <c r="F33" s="39">
        <f t="shared" si="13"/>
        <v>0</v>
      </c>
      <c r="G33" s="12"/>
      <c r="H33" s="12"/>
      <c r="I33" s="12"/>
      <c r="J33" s="39">
        <f t="shared" si="14"/>
        <v>0</v>
      </c>
      <c r="K33" s="12"/>
      <c r="L33" s="12"/>
      <c r="M33" s="12"/>
      <c r="N33" s="39">
        <f t="shared" si="15"/>
        <v>0</v>
      </c>
      <c r="O33" s="12"/>
      <c r="P33" s="12"/>
      <c r="Q33" s="12"/>
      <c r="R33" s="39">
        <f t="shared" si="16"/>
        <v>0</v>
      </c>
      <c r="S33" s="12"/>
      <c r="T33" s="12"/>
      <c r="U33" s="12"/>
      <c r="V33" s="39">
        <f t="shared" si="17"/>
        <v>0</v>
      </c>
      <c r="W33" s="24">
        <f t="shared" si="18"/>
        <v>0</v>
      </c>
      <c r="AE33" s="43" t="s">
        <v>58</v>
      </c>
    </row>
    <row r="34" spans="1:31" ht="19" customHeight="1" x14ac:dyDescent="0.25">
      <c r="A34" s="5" t="s">
        <v>20</v>
      </c>
      <c r="B34" s="43" t="s">
        <v>418</v>
      </c>
      <c r="C34" s="12"/>
      <c r="D34" s="12"/>
      <c r="E34" s="12"/>
      <c r="F34" s="39">
        <f t="shared" ref="F34:F36" si="26">SUM(C34:E34)</f>
        <v>0</v>
      </c>
      <c r="G34" s="12"/>
      <c r="H34" s="12"/>
      <c r="I34" s="12"/>
      <c r="J34" s="39">
        <f t="shared" ref="J34:J36" si="27">SUM(G34:I34)</f>
        <v>0</v>
      </c>
      <c r="K34" s="12"/>
      <c r="L34" s="12"/>
      <c r="M34" s="12"/>
      <c r="N34" s="39">
        <f t="shared" ref="N34:N36" si="28">SUM(K34:M34)</f>
        <v>0</v>
      </c>
      <c r="O34" s="12"/>
      <c r="P34" s="12"/>
      <c r="Q34" s="12"/>
      <c r="R34" s="39">
        <f t="shared" ref="R34:R36" si="29">SUM(O34:Q34)</f>
        <v>0</v>
      </c>
      <c r="S34" s="12"/>
      <c r="T34" s="12"/>
      <c r="U34" s="12"/>
      <c r="V34" s="39">
        <f t="shared" ref="V34:V36" si="30">SUM(S34:U34)</f>
        <v>0</v>
      </c>
      <c r="W34" s="24">
        <f t="shared" si="18"/>
        <v>0</v>
      </c>
      <c r="AE34" s="87"/>
    </row>
    <row r="35" spans="1:31" ht="19" customHeight="1" x14ac:dyDescent="0.25">
      <c r="A35" s="5" t="s">
        <v>21</v>
      </c>
      <c r="B35" s="43" t="s">
        <v>407</v>
      </c>
      <c r="C35" s="12"/>
      <c r="D35" s="12"/>
      <c r="E35" s="12"/>
      <c r="F35" s="39">
        <f t="shared" si="26"/>
        <v>0</v>
      </c>
      <c r="G35" s="40"/>
      <c r="H35" s="20"/>
      <c r="I35" s="20"/>
      <c r="J35" s="39">
        <f t="shared" si="27"/>
        <v>0</v>
      </c>
      <c r="K35" s="40"/>
      <c r="L35" s="20"/>
      <c r="M35" s="20"/>
      <c r="N35" s="39">
        <f t="shared" si="28"/>
        <v>0</v>
      </c>
      <c r="O35" s="40"/>
      <c r="P35" s="20"/>
      <c r="Q35" s="20"/>
      <c r="R35" s="39">
        <f t="shared" si="29"/>
        <v>0</v>
      </c>
      <c r="S35" s="40"/>
      <c r="T35" s="20"/>
      <c r="U35" s="20"/>
      <c r="V35" s="39">
        <f t="shared" si="30"/>
        <v>0</v>
      </c>
      <c r="W35" s="24">
        <f t="shared" si="18"/>
        <v>0</v>
      </c>
      <c r="AE35" s="87"/>
    </row>
    <row r="36" spans="1:31" ht="19" customHeight="1" x14ac:dyDescent="0.25">
      <c r="A36" s="5" t="s">
        <v>409</v>
      </c>
      <c r="B36" s="43" t="s">
        <v>62</v>
      </c>
      <c r="C36" s="20"/>
      <c r="D36" s="20"/>
      <c r="E36" s="20"/>
      <c r="F36" s="39">
        <f t="shared" si="26"/>
        <v>0</v>
      </c>
      <c r="G36" s="12"/>
      <c r="H36" s="12"/>
      <c r="I36" s="12"/>
      <c r="J36" s="39">
        <f t="shared" si="27"/>
        <v>0</v>
      </c>
      <c r="K36" s="12"/>
      <c r="L36" s="12"/>
      <c r="M36" s="12"/>
      <c r="N36" s="39">
        <f t="shared" si="28"/>
        <v>0</v>
      </c>
      <c r="O36" s="12"/>
      <c r="P36" s="12"/>
      <c r="Q36" s="12"/>
      <c r="R36" s="39">
        <f t="shared" si="29"/>
        <v>0</v>
      </c>
      <c r="S36" s="12"/>
      <c r="T36" s="12"/>
      <c r="U36" s="12"/>
      <c r="V36" s="39">
        <f t="shared" si="30"/>
        <v>0</v>
      </c>
      <c r="W36" s="24">
        <f t="shared" si="18"/>
        <v>0</v>
      </c>
    </row>
    <row r="37" spans="1:31" ht="19" customHeight="1" x14ac:dyDescent="0.25">
      <c r="A37" s="5" t="s">
        <v>410</v>
      </c>
      <c r="B37" s="43" t="s">
        <v>154</v>
      </c>
      <c r="C37" s="20"/>
      <c r="D37" s="20"/>
      <c r="E37" s="20"/>
      <c r="F37" s="39">
        <f t="shared" si="13"/>
        <v>0</v>
      </c>
      <c r="G37" s="20"/>
      <c r="H37" s="20"/>
      <c r="I37" s="20"/>
      <c r="J37" s="39">
        <f t="shared" si="14"/>
        <v>0</v>
      </c>
      <c r="K37" s="20"/>
      <c r="L37" s="20"/>
      <c r="M37" s="20"/>
      <c r="N37" s="39">
        <f t="shared" si="15"/>
        <v>0</v>
      </c>
      <c r="O37" s="20"/>
      <c r="P37" s="20"/>
      <c r="Q37" s="20"/>
      <c r="R37" s="39">
        <f t="shared" si="16"/>
        <v>0</v>
      </c>
      <c r="S37" s="20"/>
      <c r="T37" s="20"/>
      <c r="U37" s="20"/>
      <c r="V37" s="39">
        <f t="shared" si="17"/>
        <v>0</v>
      </c>
      <c r="W37" s="24">
        <f t="shared" si="18"/>
        <v>0</v>
      </c>
    </row>
    <row r="38" spans="1:31" x14ac:dyDescent="0.2">
      <c r="A38" s="37"/>
      <c r="B38" s="38"/>
    </row>
    <row r="39" spans="1:31" x14ac:dyDescent="0.2">
      <c r="A39" s="37"/>
      <c r="B39" s="38"/>
    </row>
    <row r="40" spans="1:31" ht="16" x14ac:dyDescent="0.2">
      <c r="A40" s="99" t="s">
        <v>38</v>
      </c>
      <c r="B40" s="100"/>
      <c r="C40" s="96" t="s">
        <v>411</v>
      </c>
      <c r="D40" s="97"/>
      <c r="E40" s="97"/>
      <c r="F40" s="98"/>
      <c r="G40" s="96" t="s">
        <v>412</v>
      </c>
      <c r="H40" s="97"/>
      <c r="I40" s="97"/>
      <c r="J40" s="98"/>
      <c r="K40" s="96" t="s">
        <v>413</v>
      </c>
      <c r="L40" s="97"/>
      <c r="M40" s="97"/>
      <c r="N40" s="98"/>
      <c r="O40" s="96" t="s">
        <v>414</v>
      </c>
      <c r="P40" s="97"/>
      <c r="Q40" s="97"/>
      <c r="R40" s="98"/>
      <c r="S40" s="96" t="s">
        <v>415</v>
      </c>
      <c r="T40" s="97"/>
      <c r="U40" s="97"/>
      <c r="V40" s="98"/>
      <c r="W40" s="95" t="s">
        <v>33</v>
      </c>
    </row>
    <row r="41" spans="1:31" ht="27" x14ac:dyDescent="0.2">
      <c r="A41" s="101"/>
      <c r="B41" s="102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95"/>
    </row>
    <row r="42" spans="1:31" ht="18" x14ac:dyDescent="0.25">
      <c r="A42" s="28">
        <v>1</v>
      </c>
      <c r="B42" s="43" t="str">
        <f>B5</f>
        <v>TLM_wid83</v>
      </c>
      <c r="C42" s="12">
        <f>C5</f>
        <v>0</v>
      </c>
      <c r="D42" s="12">
        <f t="shared" ref="D42:W42" si="31">D5</f>
        <v>0</v>
      </c>
      <c r="E42" s="12">
        <f t="shared" si="31"/>
        <v>0</v>
      </c>
      <c r="F42" s="39">
        <f t="shared" si="31"/>
        <v>0</v>
      </c>
      <c r="G42" s="12">
        <f t="shared" si="31"/>
        <v>0</v>
      </c>
      <c r="H42" s="12">
        <f t="shared" si="31"/>
        <v>0</v>
      </c>
      <c r="I42" s="12">
        <f t="shared" si="31"/>
        <v>0</v>
      </c>
      <c r="J42" s="39">
        <f t="shared" si="31"/>
        <v>0</v>
      </c>
      <c r="K42" s="12">
        <f t="shared" si="31"/>
        <v>0</v>
      </c>
      <c r="L42" s="12">
        <f t="shared" si="31"/>
        <v>0</v>
      </c>
      <c r="M42" s="12">
        <f t="shared" si="31"/>
        <v>0</v>
      </c>
      <c r="N42" s="39">
        <f t="shared" si="31"/>
        <v>0</v>
      </c>
      <c r="O42" s="12">
        <f t="shared" si="31"/>
        <v>0</v>
      </c>
      <c r="P42" s="12">
        <f t="shared" si="31"/>
        <v>0</v>
      </c>
      <c r="Q42" s="12">
        <f t="shared" si="31"/>
        <v>0</v>
      </c>
      <c r="R42" s="39">
        <f t="shared" si="31"/>
        <v>0</v>
      </c>
      <c r="S42" s="12">
        <f t="shared" si="31"/>
        <v>0</v>
      </c>
      <c r="T42" s="12">
        <f t="shared" si="31"/>
        <v>0</v>
      </c>
      <c r="U42" s="12">
        <f t="shared" si="31"/>
        <v>0</v>
      </c>
      <c r="V42" s="39">
        <f t="shared" si="31"/>
        <v>0</v>
      </c>
      <c r="W42" s="24">
        <f t="shared" si="31"/>
        <v>0</v>
      </c>
    </row>
    <row r="43" spans="1:31" ht="18" x14ac:dyDescent="0.25">
      <c r="A43" s="28">
        <v>2</v>
      </c>
      <c r="B43" s="43" t="str">
        <f>B6</f>
        <v>Rupetheking</v>
      </c>
      <c r="C43" s="12">
        <f>C6</f>
        <v>0</v>
      </c>
      <c r="D43" s="12">
        <f t="shared" ref="D43:W43" si="32">D6</f>
        <v>0</v>
      </c>
      <c r="E43" s="12">
        <f t="shared" si="32"/>
        <v>0</v>
      </c>
      <c r="F43" s="39">
        <f t="shared" si="32"/>
        <v>0</v>
      </c>
      <c r="G43" s="12">
        <f t="shared" si="32"/>
        <v>0</v>
      </c>
      <c r="H43" s="12">
        <f t="shared" si="32"/>
        <v>0</v>
      </c>
      <c r="I43" s="12">
        <f t="shared" si="32"/>
        <v>0</v>
      </c>
      <c r="J43" s="39">
        <f t="shared" si="32"/>
        <v>0</v>
      </c>
      <c r="K43" s="12">
        <f t="shared" si="32"/>
        <v>0</v>
      </c>
      <c r="L43" s="12">
        <f t="shared" si="32"/>
        <v>0</v>
      </c>
      <c r="M43" s="12">
        <f t="shared" si="32"/>
        <v>0</v>
      </c>
      <c r="N43" s="39">
        <f t="shared" si="32"/>
        <v>0</v>
      </c>
      <c r="O43" s="12">
        <f t="shared" si="32"/>
        <v>0</v>
      </c>
      <c r="P43" s="12">
        <f t="shared" si="32"/>
        <v>0</v>
      </c>
      <c r="Q43" s="12">
        <f t="shared" si="32"/>
        <v>0</v>
      </c>
      <c r="R43" s="39">
        <f t="shared" si="32"/>
        <v>0</v>
      </c>
      <c r="S43" s="12">
        <f t="shared" si="32"/>
        <v>0</v>
      </c>
      <c r="T43" s="12">
        <f t="shared" si="32"/>
        <v>0</v>
      </c>
      <c r="U43" s="12">
        <f t="shared" si="32"/>
        <v>0</v>
      </c>
      <c r="V43" s="39">
        <f t="shared" si="32"/>
        <v>0</v>
      </c>
      <c r="W43" s="24">
        <f t="shared" si="32"/>
        <v>0</v>
      </c>
    </row>
    <row r="44" spans="1:31" ht="18" x14ac:dyDescent="0.25">
      <c r="A44" s="28">
        <v>3</v>
      </c>
      <c r="B44" s="43" t="str">
        <f t="shared" ref="B44:C56" si="33">B7</f>
        <v>andvea_99</v>
      </c>
      <c r="C44" s="12">
        <f>C7</f>
        <v>0</v>
      </c>
      <c r="D44" s="12">
        <f t="shared" ref="D44:W44" si="34">D7</f>
        <v>0</v>
      </c>
      <c r="E44" s="12">
        <f t="shared" si="34"/>
        <v>0</v>
      </c>
      <c r="F44" s="39">
        <f t="shared" si="34"/>
        <v>0</v>
      </c>
      <c r="G44" s="12">
        <f t="shared" si="34"/>
        <v>0</v>
      </c>
      <c r="H44" s="12">
        <f t="shared" si="34"/>
        <v>0</v>
      </c>
      <c r="I44" s="12">
        <f t="shared" si="34"/>
        <v>0</v>
      </c>
      <c r="J44" s="39">
        <f t="shared" si="34"/>
        <v>0</v>
      </c>
      <c r="K44" s="12">
        <f t="shared" si="34"/>
        <v>0</v>
      </c>
      <c r="L44" s="12">
        <f t="shared" si="34"/>
        <v>0</v>
      </c>
      <c r="M44" s="12">
        <f t="shared" si="34"/>
        <v>0</v>
      </c>
      <c r="N44" s="39">
        <f t="shared" si="34"/>
        <v>0</v>
      </c>
      <c r="O44" s="12">
        <f t="shared" si="34"/>
        <v>0</v>
      </c>
      <c r="P44" s="12">
        <f t="shared" si="34"/>
        <v>0</v>
      </c>
      <c r="Q44" s="12">
        <f t="shared" si="34"/>
        <v>0</v>
      </c>
      <c r="R44" s="39">
        <f t="shared" si="34"/>
        <v>0</v>
      </c>
      <c r="S44" s="12">
        <f t="shared" si="34"/>
        <v>0</v>
      </c>
      <c r="T44" s="12">
        <f t="shared" si="34"/>
        <v>0</v>
      </c>
      <c r="U44" s="12">
        <f t="shared" si="34"/>
        <v>0</v>
      </c>
      <c r="V44" s="39">
        <f t="shared" si="34"/>
        <v>0</v>
      </c>
      <c r="W44" s="24">
        <f t="shared" si="34"/>
        <v>0</v>
      </c>
    </row>
    <row r="45" spans="1:31" ht="18" x14ac:dyDescent="0.25">
      <c r="A45" s="28">
        <v>4</v>
      </c>
      <c r="B45" s="43" t="str">
        <f t="shared" si="33"/>
        <v>Bobgre93</v>
      </c>
      <c r="C45" s="12">
        <f t="shared" si="33"/>
        <v>0</v>
      </c>
      <c r="D45" s="12">
        <f t="shared" ref="D45:W45" si="35">D8</f>
        <v>0</v>
      </c>
      <c r="E45" s="12">
        <f t="shared" si="35"/>
        <v>0</v>
      </c>
      <c r="F45" s="39">
        <f t="shared" si="35"/>
        <v>0</v>
      </c>
      <c r="G45" s="12">
        <f t="shared" si="35"/>
        <v>0</v>
      </c>
      <c r="H45" s="12">
        <f t="shared" si="35"/>
        <v>0</v>
      </c>
      <c r="I45" s="12">
        <f t="shared" si="35"/>
        <v>0</v>
      </c>
      <c r="J45" s="39">
        <f t="shared" si="35"/>
        <v>0</v>
      </c>
      <c r="K45" s="12">
        <f t="shared" si="35"/>
        <v>0</v>
      </c>
      <c r="L45" s="12">
        <f t="shared" si="35"/>
        <v>0</v>
      </c>
      <c r="M45" s="12">
        <f t="shared" si="35"/>
        <v>0</v>
      </c>
      <c r="N45" s="39">
        <f t="shared" si="35"/>
        <v>0</v>
      </c>
      <c r="O45" s="12">
        <f t="shared" si="35"/>
        <v>0</v>
      </c>
      <c r="P45" s="12">
        <f t="shared" si="35"/>
        <v>0</v>
      </c>
      <c r="Q45" s="12">
        <f t="shared" si="35"/>
        <v>0</v>
      </c>
      <c r="R45" s="39">
        <f t="shared" si="35"/>
        <v>0</v>
      </c>
      <c r="S45" s="12">
        <f t="shared" si="35"/>
        <v>0</v>
      </c>
      <c r="T45" s="12">
        <f t="shared" si="35"/>
        <v>0</v>
      </c>
      <c r="U45" s="12">
        <f t="shared" si="35"/>
        <v>0</v>
      </c>
      <c r="V45" s="39">
        <f t="shared" si="35"/>
        <v>0</v>
      </c>
      <c r="W45" s="24">
        <f t="shared" si="35"/>
        <v>0</v>
      </c>
    </row>
    <row r="46" spans="1:31" ht="18" x14ac:dyDescent="0.25">
      <c r="A46" s="28">
        <v>5</v>
      </c>
      <c r="B46" s="43" t="str">
        <f t="shared" si="33"/>
        <v>xRUA85x</v>
      </c>
      <c r="C46" s="12">
        <f t="shared" si="33"/>
        <v>0</v>
      </c>
      <c r="D46" s="12">
        <f t="shared" ref="D46:W46" si="36">D9</f>
        <v>0</v>
      </c>
      <c r="E46" s="12">
        <f t="shared" si="36"/>
        <v>0</v>
      </c>
      <c r="F46" s="39">
        <f t="shared" si="36"/>
        <v>0</v>
      </c>
      <c r="G46" s="12">
        <f t="shared" si="36"/>
        <v>0</v>
      </c>
      <c r="H46" s="12">
        <f t="shared" si="36"/>
        <v>0</v>
      </c>
      <c r="I46" s="12">
        <f t="shared" si="36"/>
        <v>0</v>
      </c>
      <c r="J46" s="39">
        <f t="shared" si="36"/>
        <v>0</v>
      </c>
      <c r="K46" s="12">
        <f t="shared" si="36"/>
        <v>0</v>
      </c>
      <c r="L46" s="12">
        <f t="shared" si="36"/>
        <v>0</v>
      </c>
      <c r="M46" s="12">
        <f t="shared" si="36"/>
        <v>0</v>
      </c>
      <c r="N46" s="39">
        <f t="shared" si="36"/>
        <v>0</v>
      </c>
      <c r="O46" s="12">
        <f t="shared" si="36"/>
        <v>0</v>
      </c>
      <c r="P46" s="12">
        <f t="shared" si="36"/>
        <v>0</v>
      </c>
      <c r="Q46" s="12">
        <f t="shared" si="36"/>
        <v>0</v>
      </c>
      <c r="R46" s="39">
        <f t="shared" si="36"/>
        <v>0</v>
      </c>
      <c r="S46" s="12">
        <f t="shared" si="36"/>
        <v>0</v>
      </c>
      <c r="T46" s="12">
        <f t="shared" si="36"/>
        <v>0</v>
      </c>
      <c r="U46" s="12">
        <f t="shared" si="36"/>
        <v>0</v>
      </c>
      <c r="V46" s="39">
        <f t="shared" si="36"/>
        <v>0</v>
      </c>
      <c r="W46" s="24">
        <f t="shared" si="36"/>
        <v>0</v>
      </c>
    </row>
    <row r="47" spans="1:31" ht="18" x14ac:dyDescent="0.25">
      <c r="A47" s="28">
        <v>6</v>
      </c>
      <c r="B47" s="43" t="str">
        <f t="shared" si="33"/>
        <v>TheGuarny</v>
      </c>
      <c r="C47" s="12">
        <f t="shared" si="33"/>
        <v>0</v>
      </c>
      <c r="D47" s="12">
        <f t="shared" ref="D47:W47" si="37">D10</f>
        <v>0</v>
      </c>
      <c r="E47" s="12">
        <f t="shared" si="37"/>
        <v>0</v>
      </c>
      <c r="F47" s="39">
        <f t="shared" si="37"/>
        <v>0</v>
      </c>
      <c r="G47" s="12">
        <f t="shared" si="37"/>
        <v>0</v>
      </c>
      <c r="H47" s="12">
        <f t="shared" si="37"/>
        <v>0</v>
      </c>
      <c r="I47" s="12">
        <f t="shared" si="37"/>
        <v>0</v>
      </c>
      <c r="J47" s="39">
        <f t="shared" si="37"/>
        <v>0</v>
      </c>
      <c r="K47" s="12">
        <f t="shared" si="37"/>
        <v>0</v>
      </c>
      <c r="L47" s="12">
        <f t="shared" si="37"/>
        <v>0</v>
      </c>
      <c r="M47" s="12">
        <f t="shared" si="37"/>
        <v>0</v>
      </c>
      <c r="N47" s="39">
        <f t="shared" si="37"/>
        <v>0</v>
      </c>
      <c r="O47" s="12">
        <f t="shared" si="37"/>
        <v>0</v>
      </c>
      <c r="P47" s="12">
        <f t="shared" si="37"/>
        <v>0</v>
      </c>
      <c r="Q47" s="12">
        <f t="shared" si="37"/>
        <v>0</v>
      </c>
      <c r="R47" s="39">
        <f t="shared" si="37"/>
        <v>0</v>
      </c>
      <c r="S47" s="12">
        <f t="shared" si="37"/>
        <v>0</v>
      </c>
      <c r="T47" s="12">
        <f t="shared" si="37"/>
        <v>0</v>
      </c>
      <c r="U47" s="12">
        <f t="shared" si="37"/>
        <v>0</v>
      </c>
      <c r="V47" s="39">
        <f t="shared" si="37"/>
        <v>0</v>
      </c>
      <c r="W47" s="24">
        <f t="shared" si="37"/>
        <v>0</v>
      </c>
    </row>
    <row r="48" spans="1:31" ht="18" x14ac:dyDescent="0.25">
      <c r="A48" s="28">
        <v>7</v>
      </c>
      <c r="B48" s="43" t="str">
        <f t="shared" si="33"/>
        <v>Patanel86</v>
      </c>
      <c r="C48" s="12">
        <f t="shared" si="33"/>
        <v>0</v>
      </c>
      <c r="D48" s="12">
        <f t="shared" ref="D48:W48" si="38">D11</f>
        <v>0</v>
      </c>
      <c r="E48" s="12">
        <f t="shared" si="38"/>
        <v>0</v>
      </c>
      <c r="F48" s="39">
        <f t="shared" si="38"/>
        <v>0</v>
      </c>
      <c r="G48" s="12">
        <f t="shared" si="38"/>
        <v>0</v>
      </c>
      <c r="H48" s="12">
        <f t="shared" si="38"/>
        <v>0</v>
      </c>
      <c r="I48" s="12">
        <f t="shared" si="38"/>
        <v>0</v>
      </c>
      <c r="J48" s="39">
        <f t="shared" si="38"/>
        <v>0</v>
      </c>
      <c r="K48" s="12">
        <f t="shared" si="38"/>
        <v>0</v>
      </c>
      <c r="L48" s="12">
        <f t="shared" si="38"/>
        <v>0</v>
      </c>
      <c r="M48" s="12">
        <f t="shared" si="38"/>
        <v>0</v>
      </c>
      <c r="N48" s="39">
        <f t="shared" si="38"/>
        <v>0</v>
      </c>
      <c r="O48" s="12">
        <f t="shared" si="38"/>
        <v>0</v>
      </c>
      <c r="P48" s="12">
        <f t="shared" si="38"/>
        <v>0</v>
      </c>
      <c r="Q48" s="12">
        <f t="shared" si="38"/>
        <v>0</v>
      </c>
      <c r="R48" s="39">
        <f t="shared" si="38"/>
        <v>0</v>
      </c>
      <c r="S48" s="12">
        <f t="shared" si="38"/>
        <v>0</v>
      </c>
      <c r="T48" s="12">
        <f t="shared" si="38"/>
        <v>0</v>
      </c>
      <c r="U48" s="12">
        <f t="shared" si="38"/>
        <v>0</v>
      </c>
      <c r="V48" s="39">
        <f t="shared" si="38"/>
        <v>0</v>
      </c>
      <c r="W48" s="24">
        <f t="shared" si="38"/>
        <v>0</v>
      </c>
    </row>
    <row r="49" spans="1:23" ht="18" x14ac:dyDescent="0.25">
      <c r="A49" s="28">
        <v>8</v>
      </c>
      <c r="B49" s="43" t="str">
        <f t="shared" si="33"/>
        <v>TLM_Kappa</v>
      </c>
      <c r="C49" s="12">
        <f t="shared" si="33"/>
        <v>0</v>
      </c>
      <c r="D49" s="12">
        <f t="shared" ref="D49:W49" si="39">D12</f>
        <v>0</v>
      </c>
      <c r="E49" s="12">
        <f t="shared" si="39"/>
        <v>0</v>
      </c>
      <c r="F49" s="39">
        <f t="shared" si="39"/>
        <v>0</v>
      </c>
      <c r="G49" s="12">
        <f t="shared" si="39"/>
        <v>0</v>
      </c>
      <c r="H49" s="12">
        <f t="shared" si="39"/>
        <v>0</v>
      </c>
      <c r="I49" s="12">
        <f t="shared" si="39"/>
        <v>0</v>
      </c>
      <c r="J49" s="39">
        <f t="shared" si="39"/>
        <v>0</v>
      </c>
      <c r="K49" s="12">
        <f t="shared" si="39"/>
        <v>0</v>
      </c>
      <c r="L49" s="12">
        <f t="shared" si="39"/>
        <v>0</v>
      </c>
      <c r="M49" s="12">
        <f t="shared" si="39"/>
        <v>0</v>
      </c>
      <c r="N49" s="39">
        <f t="shared" si="39"/>
        <v>0</v>
      </c>
      <c r="O49" s="12">
        <f t="shared" si="39"/>
        <v>0</v>
      </c>
      <c r="P49" s="12">
        <f t="shared" si="39"/>
        <v>0</v>
      </c>
      <c r="Q49" s="12">
        <f t="shared" si="39"/>
        <v>0</v>
      </c>
      <c r="R49" s="39">
        <f t="shared" si="39"/>
        <v>0</v>
      </c>
      <c r="S49" s="12">
        <f t="shared" si="39"/>
        <v>0</v>
      </c>
      <c r="T49" s="12">
        <f t="shared" si="39"/>
        <v>0</v>
      </c>
      <c r="U49" s="12">
        <f t="shared" si="39"/>
        <v>0</v>
      </c>
      <c r="V49" s="39">
        <f t="shared" si="39"/>
        <v>0</v>
      </c>
      <c r="W49" s="24">
        <f t="shared" si="39"/>
        <v>0</v>
      </c>
    </row>
    <row r="50" spans="1:23" ht="18" x14ac:dyDescent="0.25">
      <c r="A50" s="28">
        <v>9</v>
      </c>
      <c r="B50" s="43" t="str">
        <f t="shared" si="33"/>
        <v>Verce90</v>
      </c>
      <c r="C50" s="12">
        <f t="shared" si="33"/>
        <v>0</v>
      </c>
      <c r="D50" s="12">
        <f t="shared" ref="D50:W50" si="40">D13</f>
        <v>0</v>
      </c>
      <c r="E50" s="12">
        <f t="shared" si="40"/>
        <v>0</v>
      </c>
      <c r="F50" s="39">
        <f t="shared" si="40"/>
        <v>0</v>
      </c>
      <c r="G50" s="12">
        <f t="shared" si="40"/>
        <v>0</v>
      </c>
      <c r="H50" s="12">
        <f t="shared" si="40"/>
        <v>0</v>
      </c>
      <c r="I50" s="12">
        <f t="shared" si="40"/>
        <v>0</v>
      </c>
      <c r="J50" s="39">
        <f t="shared" si="40"/>
        <v>0</v>
      </c>
      <c r="K50" s="12">
        <f t="shared" si="40"/>
        <v>0</v>
      </c>
      <c r="L50" s="12">
        <f t="shared" si="40"/>
        <v>0</v>
      </c>
      <c r="M50" s="12">
        <f t="shared" si="40"/>
        <v>0</v>
      </c>
      <c r="N50" s="39">
        <f t="shared" si="40"/>
        <v>0</v>
      </c>
      <c r="O50" s="12">
        <f t="shared" si="40"/>
        <v>0</v>
      </c>
      <c r="P50" s="12">
        <f t="shared" si="40"/>
        <v>0</v>
      </c>
      <c r="Q50" s="12">
        <f t="shared" si="40"/>
        <v>0</v>
      </c>
      <c r="R50" s="39">
        <f t="shared" si="40"/>
        <v>0</v>
      </c>
      <c r="S50" s="12">
        <f t="shared" si="40"/>
        <v>0</v>
      </c>
      <c r="T50" s="12">
        <f t="shared" si="40"/>
        <v>0</v>
      </c>
      <c r="U50" s="12">
        <f t="shared" si="40"/>
        <v>0</v>
      </c>
      <c r="V50" s="39">
        <f t="shared" si="40"/>
        <v>0</v>
      </c>
      <c r="W50" s="24">
        <f t="shared" si="40"/>
        <v>0</v>
      </c>
    </row>
    <row r="51" spans="1:23" ht="18" x14ac:dyDescent="0.25">
      <c r="A51" s="28">
        <v>10</v>
      </c>
      <c r="B51" s="43" t="str">
        <f t="shared" si="33"/>
        <v>selpa974</v>
      </c>
      <c r="C51" s="12">
        <f t="shared" si="33"/>
        <v>0</v>
      </c>
      <c r="D51" s="12">
        <f t="shared" ref="D51:W51" si="41">D14</f>
        <v>0</v>
      </c>
      <c r="E51" s="12">
        <f t="shared" si="41"/>
        <v>0</v>
      </c>
      <c r="F51" s="39">
        <f t="shared" si="41"/>
        <v>0</v>
      </c>
      <c r="G51" s="12">
        <f t="shared" si="41"/>
        <v>0</v>
      </c>
      <c r="H51" s="12">
        <f t="shared" si="41"/>
        <v>0</v>
      </c>
      <c r="I51" s="12">
        <f t="shared" si="41"/>
        <v>0</v>
      </c>
      <c r="J51" s="39">
        <f t="shared" si="41"/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39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39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39">
        <f t="shared" si="41"/>
        <v>0</v>
      </c>
      <c r="W51" s="24">
        <f t="shared" si="41"/>
        <v>0</v>
      </c>
    </row>
    <row r="52" spans="1:23" ht="18" x14ac:dyDescent="0.25">
      <c r="A52" s="28">
        <v>11</v>
      </c>
      <c r="B52" s="43" t="str">
        <f t="shared" si="33"/>
        <v>TLM_SKIZZO 34</v>
      </c>
      <c r="C52" s="12">
        <f t="shared" si="33"/>
        <v>0</v>
      </c>
      <c r="D52" s="12">
        <f t="shared" ref="D52:W52" si="42">D15</f>
        <v>0</v>
      </c>
      <c r="E52" s="12">
        <f t="shared" si="42"/>
        <v>0</v>
      </c>
      <c r="F52" s="39">
        <f t="shared" si="42"/>
        <v>0</v>
      </c>
      <c r="G52" s="12">
        <f t="shared" si="42"/>
        <v>0</v>
      </c>
      <c r="H52" s="12">
        <f t="shared" si="42"/>
        <v>0</v>
      </c>
      <c r="I52" s="12">
        <f t="shared" si="42"/>
        <v>0</v>
      </c>
      <c r="J52" s="39">
        <f t="shared" si="42"/>
        <v>0</v>
      </c>
      <c r="K52" s="12">
        <f t="shared" si="42"/>
        <v>0</v>
      </c>
      <c r="L52" s="12">
        <f t="shared" si="42"/>
        <v>0</v>
      </c>
      <c r="M52" s="12">
        <f t="shared" si="42"/>
        <v>0</v>
      </c>
      <c r="N52" s="39">
        <f t="shared" si="42"/>
        <v>0</v>
      </c>
      <c r="O52" s="12">
        <f t="shared" si="42"/>
        <v>0</v>
      </c>
      <c r="P52" s="12">
        <f t="shared" si="42"/>
        <v>0</v>
      </c>
      <c r="Q52" s="12">
        <f t="shared" si="42"/>
        <v>0</v>
      </c>
      <c r="R52" s="39">
        <f t="shared" si="42"/>
        <v>0</v>
      </c>
      <c r="S52" s="12">
        <f t="shared" si="42"/>
        <v>0</v>
      </c>
      <c r="T52" s="12">
        <f t="shared" si="42"/>
        <v>0</v>
      </c>
      <c r="U52" s="12">
        <f t="shared" si="42"/>
        <v>0</v>
      </c>
      <c r="V52" s="39">
        <f t="shared" si="42"/>
        <v>0</v>
      </c>
      <c r="W52" s="24">
        <f t="shared" si="42"/>
        <v>0</v>
      </c>
    </row>
    <row r="53" spans="1:23" ht="18" x14ac:dyDescent="0.25">
      <c r="A53" s="28">
        <v>12</v>
      </c>
      <c r="B53" s="43" t="str">
        <f t="shared" si="33"/>
        <v>Silentium884</v>
      </c>
      <c r="C53" s="12">
        <f t="shared" si="33"/>
        <v>0</v>
      </c>
      <c r="D53" s="12">
        <f t="shared" ref="D53:W53" si="43">D16</f>
        <v>0</v>
      </c>
      <c r="E53" s="12">
        <f t="shared" si="43"/>
        <v>0</v>
      </c>
      <c r="F53" s="39">
        <f t="shared" si="43"/>
        <v>0</v>
      </c>
      <c r="G53" s="12">
        <f t="shared" si="43"/>
        <v>0</v>
      </c>
      <c r="H53" s="12">
        <f t="shared" si="43"/>
        <v>0</v>
      </c>
      <c r="I53" s="12">
        <f t="shared" si="43"/>
        <v>0</v>
      </c>
      <c r="J53" s="39">
        <f t="shared" si="43"/>
        <v>0</v>
      </c>
      <c r="K53" s="12">
        <f t="shared" si="43"/>
        <v>0</v>
      </c>
      <c r="L53" s="12">
        <f t="shared" si="43"/>
        <v>0</v>
      </c>
      <c r="M53" s="12">
        <f t="shared" si="43"/>
        <v>0</v>
      </c>
      <c r="N53" s="39">
        <f t="shared" si="43"/>
        <v>0</v>
      </c>
      <c r="O53" s="12">
        <f t="shared" si="43"/>
        <v>0</v>
      </c>
      <c r="P53" s="12">
        <f t="shared" si="43"/>
        <v>0</v>
      </c>
      <c r="Q53" s="12">
        <f t="shared" si="43"/>
        <v>0</v>
      </c>
      <c r="R53" s="39">
        <f t="shared" si="43"/>
        <v>0</v>
      </c>
      <c r="S53" s="12">
        <f t="shared" si="43"/>
        <v>0</v>
      </c>
      <c r="T53" s="12">
        <f t="shared" si="43"/>
        <v>0</v>
      </c>
      <c r="U53" s="12">
        <f t="shared" si="43"/>
        <v>0</v>
      </c>
      <c r="V53" s="39">
        <f t="shared" si="43"/>
        <v>0</v>
      </c>
      <c r="W53" s="24">
        <f t="shared" si="43"/>
        <v>0</v>
      </c>
    </row>
    <row r="54" spans="1:23" ht="18" x14ac:dyDescent="0.25">
      <c r="A54" s="28">
        <v>13</v>
      </c>
      <c r="B54" s="43" t="str">
        <f t="shared" si="33"/>
        <v>Ulix1990</v>
      </c>
      <c r="C54" s="12">
        <f t="shared" si="33"/>
        <v>0</v>
      </c>
      <c r="D54" s="12">
        <f t="shared" ref="D54:W54" si="44">D17</f>
        <v>0</v>
      </c>
      <c r="E54" s="12">
        <f t="shared" si="44"/>
        <v>0</v>
      </c>
      <c r="F54" s="39">
        <f t="shared" si="44"/>
        <v>0</v>
      </c>
      <c r="G54" s="12">
        <f t="shared" si="44"/>
        <v>0</v>
      </c>
      <c r="H54" s="12">
        <f t="shared" si="44"/>
        <v>0</v>
      </c>
      <c r="I54" s="12">
        <f t="shared" si="44"/>
        <v>0</v>
      </c>
      <c r="J54" s="39">
        <f t="shared" si="44"/>
        <v>0</v>
      </c>
      <c r="K54" s="12">
        <f t="shared" si="44"/>
        <v>0</v>
      </c>
      <c r="L54" s="12">
        <f t="shared" si="44"/>
        <v>0</v>
      </c>
      <c r="M54" s="12">
        <f t="shared" si="44"/>
        <v>0</v>
      </c>
      <c r="N54" s="39">
        <f t="shared" si="44"/>
        <v>0</v>
      </c>
      <c r="O54" s="12">
        <f t="shared" si="44"/>
        <v>0</v>
      </c>
      <c r="P54" s="12">
        <f t="shared" si="44"/>
        <v>0</v>
      </c>
      <c r="Q54" s="12">
        <f t="shared" si="44"/>
        <v>0</v>
      </c>
      <c r="R54" s="39">
        <f t="shared" si="44"/>
        <v>0</v>
      </c>
      <c r="S54" s="12">
        <f t="shared" si="44"/>
        <v>0</v>
      </c>
      <c r="T54" s="12">
        <f t="shared" si="44"/>
        <v>0</v>
      </c>
      <c r="U54" s="12">
        <f t="shared" si="44"/>
        <v>0</v>
      </c>
      <c r="V54" s="39">
        <f t="shared" si="44"/>
        <v>0</v>
      </c>
      <c r="W54" s="24">
        <f t="shared" si="44"/>
        <v>0</v>
      </c>
    </row>
    <row r="55" spans="1:23" ht="18" x14ac:dyDescent="0.25">
      <c r="A55" s="28">
        <v>14</v>
      </c>
      <c r="B55" s="43" t="str">
        <f t="shared" si="33"/>
        <v>Isnotacrime</v>
      </c>
      <c r="C55" s="12">
        <f t="shared" si="33"/>
        <v>0</v>
      </c>
      <c r="D55" s="12">
        <f t="shared" ref="D55:W55" si="45">D18</f>
        <v>0</v>
      </c>
      <c r="E55" s="12">
        <f t="shared" si="45"/>
        <v>0</v>
      </c>
      <c r="F55" s="39">
        <f t="shared" si="45"/>
        <v>0</v>
      </c>
      <c r="G55" s="12">
        <f t="shared" si="45"/>
        <v>0</v>
      </c>
      <c r="H55" s="12">
        <f t="shared" si="45"/>
        <v>0</v>
      </c>
      <c r="I55" s="12">
        <f t="shared" si="45"/>
        <v>0</v>
      </c>
      <c r="J55" s="39">
        <f t="shared" si="45"/>
        <v>0</v>
      </c>
      <c r="K55" s="12">
        <f t="shared" si="45"/>
        <v>0</v>
      </c>
      <c r="L55" s="12">
        <f t="shared" si="45"/>
        <v>0</v>
      </c>
      <c r="M55" s="12">
        <f t="shared" si="45"/>
        <v>0</v>
      </c>
      <c r="N55" s="39">
        <f t="shared" si="45"/>
        <v>0</v>
      </c>
      <c r="O55" s="12">
        <f t="shared" si="45"/>
        <v>0</v>
      </c>
      <c r="P55" s="12">
        <f t="shared" si="45"/>
        <v>0</v>
      </c>
      <c r="Q55" s="12">
        <f t="shared" si="45"/>
        <v>0</v>
      </c>
      <c r="R55" s="39">
        <f t="shared" si="45"/>
        <v>0</v>
      </c>
      <c r="S55" s="12">
        <f t="shared" si="45"/>
        <v>0</v>
      </c>
      <c r="T55" s="12">
        <f t="shared" si="45"/>
        <v>0</v>
      </c>
      <c r="U55" s="12">
        <f t="shared" si="45"/>
        <v>0</v>
      </c>
      <c r="V55" s="39">
        <f t="shared" si="45"/>
        <v>0</v>
      </c>
      <c r="W55" s="24">
        <f t="shared" si="45"/>
        <v>0</v>
      </c>
    </row>
    <row r="56" spans="1:23" ht="18" x14ac:dyDescent="0.25">
      <c r="A56" s="28">
        <v>15</v>
      </c>
      <c r="B56" s="43" t="str">
        <f t="shared" si="33"/>
        <v>Asseemazz</v>
      </c>
      <c r="C56" s="12">
        <f t="shared" si="33"/>
        <v>0</v>
      </c>
      <c r="D56" s="12">
        <f t="shared" ref="D56:W56" si="46">D19</f>
        <v>0</v>
      </c>
      <c r="E56" s="12">
        <f t="shared" si="46"/>
        <v>0</v>
      </c>
      <c r="F56" s="39">
        <f t="shared" si="46"/>
        <v>0</v>
      </c>
      <c r="G56" s="12">
        <f t="shared" si="46"/>
        <v>0</v>
      </c>
      <c r="H56" s="12">
        <f t="shared" si="46"/>
        <v>0</v>
      </c>
      <c r="I56" s="12">
        <f t="shared" si="46"/>
        <v>0</v>
      </c>
      <c r="J56" s="39">
        <f t="shared" si="46"/>
        <v>0</v>
      </c>
      <c r="K56" s="12">
        <f t="shared" si="46"/>
        <v>0</v>
      </c>
      <c r="L56" s="12">
        <f t="shared" si="46"/>
        <v>0</v>
      </c>
      <c r="M56" s="12">
        <f t="shared" si="46"/>
        <v>0</v>
      </c>
      <c r="N56" s="39">
        <f t="shared" si="46"/>
        <v>0</v>
      </c>
      <c r="O56" s="12">
        <f t="shared" si="46"/>
        <v>0</v>
      </c>
      <c r="P56" s="12">
        <f t="shared" si="46"/>
        <v>0</v>
      </c>
      <c r="Q56" s="12">
        <f t="shared" si="46"/>
        <v>0</v>
      </c>
      <c r="R56" s="39">
        <f t="shared" si="46"/>
        <v>0</v>
      </c>
      <c r="S56" s="12">
        <f t="shared" si="46"/>
        <v>0</v>
      </c>
      <c r="T56" s="12">
        <f t="shared" si="46"/>
        <v>0</v>
      </c>
      <c r="U56" s="12">
        <f t="shared" si="46"/>
        <v>0</v>
      </c>
      <c r="V56" s="39">
        <f t="shared" si="46"/>
        <v>0</v>
      </c>
      <c r="W56" s="24">
        <f t="shared" si="46"/>
        <v>0</v>
      </c>
    </row>
    <row r="57" spans="1:23" ht="18" x14ac:dyDescent="0.25">
      <c r="A57" s="28">
        <v>16</v>
      </c>
      <c r="B57" s="43" t="str">
        <f>B20</f>
        <v>Liotru1979</v>
      </c>
      <c r="C57" s="12">
        <f t="shared" ref="C57" si="47">C20</f>
        <v>0</v>
      </c>
      <c r="D57" s="12">
        <f t="shared" ref="D57:W57" si="48">D20</f>
        <v>0</v>
      </c>
      <c r="E57" s="12">
        <f t="shared" si="48"/>
        <v>0</v>
      </c>
      <c r="F57" s="39">
        <f t="shared" si="48"/>
        <v>0</v>
      </c>
      <c r="G57" s="12">
        <f t="shared" si="48"/>
        <v>0</v>
      </c>
      <c r="H57" s="12">
        <f t="shared" si="48"/>
        <v>0</v>
      </c>
      <c r="I57" s="12">
        <f t="shared" si="48"/>
        <v>0</v>
      </c>
      <c r="J57" s="39">
        <f t="shared" si="48"/>
        <v>0</v>
      </c>
      <c r="K57" s="12">
        <f t="shared" si="48"/>
        <v>0</v>
      </c>
      <c r="L57" s="12">
        <f t="shared" si="48"/>
        <v>0</v>
      </c>
      <c r="M57" s="12">
        <f t="shared" si="48"/>
        <v>0</v>
      </c>
      <c r="N57" s="39">
        <f t="shared" si="48"/>
        <v>0</v>
      </c>
      <c r="O57" s="12">
        <f t="shared" si="48"/>
        <v>0</v>
      </c>
      <c r="P57" s="12">
        <f t="shared" si="48"/>
        <v>0</v>
      </c>
      <c r="Q57" s="12">
        <f t="shared" si="48"/>
        <v>0</v>
      </c>
      <c r="R57" s="39">
        <f t="shared" si="48"/>
        <v>0</v>
      </c>
      <c r="S57" s="12">
        <f t="shared" si="48"/>
        <v>0</v>
      </c>
      <c r="T57" s="12">
        <f t="shared" si="48"/>
        <v>0</v>
      </c>
      <c r="U57" s="12">
        <f t="shared" si="48"/>
        <v>0</v>
      </c>
      <c r="V57" s="39">
        <f t="shared" si="48"/>
        <v>0</v>
      </c>
      <c r="W57" s="24">
        <f t="shared" si="48"/>
        <v>0</v>
      </c>
    </row>
    <row r="58" spans="1:23" ht="18" x14ac:dyDescent="0.25">
      <c r="A58" s="28">
        <v>17</v>
      </c>
      <c r="B58" s="43" t="str">
        <f>B22</f>
        <v>Chry-77</v>
      </c>
      <c r="C58" s="12">
        <f>C22</f>
        <v>0</v>
      </c>
      <c r="D58" s="12">
        <f t="shared" ref="D58:W58" si="49">D22</f>
        <v>0</v>
      </c>
      <c r="E58" s="12">
        <f t="shared" si="49"/>
        <v>0</v>
      </c>
      <c r="F58" s="39">
        <f t="shared" si="49"/>
        <v>0</v>
      </c>
      <c r="G58" s="12">
        <f t="shared" si="49"/>
        <v>0</v>
      </c>
      <c r="H58" s="12">
        <f t="shared" si="49"/>
        <v>0</v>
      </c>
      <c r="I58" s="12">
        <f t="shared" si="49"/>
        <v>0</v>
      </c>
      <c r="J58" s="39">
        <f t="shared" si="49"/>
        <v>0</v>
      </c>
      <c r="K58" s="12">
        <f t="shared" si="49"/>
        <v>0</v>
      </c>
      <c r="L58" s="12">
        <f t="shared" si="49"/>
        <v>0</v>
      </c>
      <c r="M58" s="12">
        <f t="shared" si="49"/>
        <v>0</v>
      </c>
      <c r="N58" s="39">
        <f t="shared" si="49"/>
        <v>0</v>
      </c>
      <c r="O58" s="12">
        <f t="shared" si="49"/>
        <v>0</v>
      </c>
      <c r="P58" s="12">
        <f t="shared" si="49"/>
        <v>0</v>
      </c>
      <c r="Q58" s="12">
        <f t="shared" si="49"/>
        <v>0</v>
      </c>
      <c r="R58" s="39">
        <f t="shared" si="49"/>
        <v>0</v>
      </c>
      <c r="S58" s="12">
        <f t="shared" si="49"/>
        <v>0</v>
      </c>
      <c r="T58" s="12">
        <f t="shared" si="49"/>
        <v>0</v>
      </c>
      <c r="U58" s="12">
        <f t="shared" si="49"/>
        <v>0</v>
      </c>
      <c r="V58" s="39">
        <f t="shared" si="49"/>
        <v>0</v>
      </c>
      <c r="W58" s="24">
        <f t="shared" si="49"/>
        <v>0</v>
      </c>
    </row>
    <row r="59" spans="1:23" ht="18" x14ac:dyDescent="0.25">
      <c r="A59" s="28">
        <v>18</v>
      </c>
      <c r="B59" s="43" t="str">
        <f t="shared" ref="B59:C73" si="50">B23</f>
        <v>mark126p</v>
      </c>
      <c r="C59" s="12">
        <f t="shared" si="50"/>
        <v>0</v>
      </c>
      <c r="D59" s="12">
        <f t="shared" ref="D59:W59" si="51">D23</f>
        <v>0</v>
      </c>
      <c r="E59" s="12">
        <f t="shared" si="51"/>
        <v>0</v>
      </c>
      <c r="F59" s="39">
        <f t="shared" si="51"/>
        <v>0</v>
      </c>
      <c r="G59" s="12">
        <f t="shared" si="51"/>
        <v>0</v>
      </c>
      <c r="H59" s="12">
        <f t="shared" si="51"/>
        <v>0</v>
      </c>
      <c r="I59" s="12">
        <f t="shared" si="51"/>
        <v>0</v>
      </c>
      <c r="J59" s="39">
        <f t="shared" si="51"/>
        <v>0</v>
      </c>
      <c r="K59" s="12">
        <f t="shared" si="51"/>
        <v>0</v>
      </c>
      <c r="L59" s="12">
        <f t="shared" si="51"/>
        <v>0</v>
      </c>
      <c r="M59" s="12">
        <f t="shared" si="51"/>
        <v>0</v>
      </c>
      <c r="N59" s="39">
        <f t="shared" si="51"/>
        <v>0</v>
      </c>
      <c r="O59" s="12">
        <f t="shared" si="51"/>
        <v>0</v>
      </c>
      <c r="P59" s="12">
        <f t="shared" si="51"/>
        <v>0</v>
      </c>
      <c r="Q59" s="12">
        <f t="shared" si="51"/>
        <v>0</v>
      </c>
      <c r="R59" s="39">
        <f t="shared" si="51"/>
        <v>0</v>
      </c>
      <c r="S59" s="12">
        <f t="shared" si="51"/>
        <v>0</v>
      </c>
      <c r="T59" s="12">
        <f t="shared" si="51"/>
        <v>0</v>
      </c>
      <c r="U59" s="12">
        <f t="shared" si="51"/>
        <v>0</v>
      </c>
      <c r="V59" s="39">
        <f t="shared" si="51"/>
        <v>0</v>
      </c>
      <c r="W59" s="24">
        <f t="shared" si="51"/>
        <v>0</v>
      </c>
    </row>
    <row r="60" spans="1:23" ht="18" x14ac:dyDescent="0.25">
      <c r="A60" s="28">
        <v>19</v>
      </c>
      <c r="B60" s="43" t="str">
        <f t="shared" si="50"/>
        <v>Parenji</v>
      </c>
      <c r="C60" s="12">
        <f t="shared" si="50"/>
        <v>0</v>
      </c>
      <c r="D60" s="12">
        <f t="shared" ref="D60:W60" si="52">D24</f>
        <v>0</v>
      </c>
      <c r="E60" s="12">
        <f t="shared" si="52"/>
        <v>0</v>
      </c>
      <c r="F60" s="39">
        <f t="shared" si="52"/>
        <v>0</v>
      </c>
      <c r="G60" s="12">
        <f t="shared" si="52"/>
        <v>0</v>
      </c>
      <c r="H60" s="12">
        <f t="shared" si="52"/>
        <v>0</v>
      </c>
      <c r="I60" s="12">
        <f t="shared" si="52"/>
        <v>0</v>
      </c>
      <c r="J60" s="39">
        <f t="shared" si="52"/>
        <v>0</v>
      </c>
      <c r="K60" s="12">
        <f t="shared" si="52"/>
        <v>0</v>
      </c>
      <c r="L60" s="12">
        <f t="shared" si="52"/>
        <v>0</v>
      </c>
      <c r="M60" s="12">
        <f t="shared" si="52"/>
        <v>0</v>
      </c>
      <c r="N60" s="39">
        <f t="shared" si="52"/>
        <v>0</v>
      </c>
      <c r="O60" s="12">
        <f t="shared" si="52"/>
        <v>0</v>
      </c>
      <c r="P60" s="12">
        <f t="shared" si="52"/>
        <v>0</v>
      </c>
      <c r="Q60" s="12">
        <f t="shared" si="52"/>
        <v>0</v>
      </c>
      <c r="R60" s="39">
        <f t="shared" si="52"/>
        <v>0</v>
      </c>
      <c r="S60" s="12">
        <f t="shared" si="52"/>
        <v>0</v>
      </c>
      <c r="T60" s="12">
        <f t="shared" si="52"/>
        <v>0</v>
      </c>
      <c r="U60" s="12">
        <f t="shared" si="52"/>
        <v>0</v>
      </c>
      <c r="V60" s="39">
        <f t="shared" si="52"/>
        <v>0</v>
      </c>
      <c r="W60" s="24">
        <f t="shared" si="52"/>
        <v>0</v>
      </c>
    </row>
    <row r="61" spans="1:23" ht="18" x14ac:dyDescent="0.25">
      <c r="A61" s="28">
        <v>20</v>
      </c>
      <c r="B61" s="43" t="str">
        <f t="shared" si="50"/>
        <v>Asseemazz</v>
      </c>
      <c r="C61" s="12">
        <f t="shared" si="50"/>
        <v>0</v>
      </c>
      <c r="D61" s="12">
        <f t="shared" ref="D61:W61" si="53">D25</f>
        <v>0</v>
      </c>
      <c r="E61" s="12">
        <f t="shared" si="53"/>
        <v>0</v>
      </c>
      <c r="F61" s="39">
        <f t="shared" si="53"/>
        <v>0</v>
      </c>
      <c r="G61" s="12">
        <f t="shared" si="53"/>
        <v>0</v>
      </c>
      <c r="H61" s="12">
        <f t="shared" si="53"/>
        <v>0</v>
      </c>
      <c r="I61" s="12">
        <f t="shared" si="53"/>
        <v>0</v>
      </c>
      <c r="J61" s="39">
        <f t="shared" si="53"/>
        <v>0</v>
      </c>
      <c r="K61" s="12">
        <f t="shared" si="53"/>
        <v>0</v>
      </c>
      <c r="L61" s="12">
        <f t="shared" si="53"/>
        <v>0</v>
      </c>
      <c r="M61" s="12">
        <f t="shared" si="53"/>
        <v>0</v>
      </c>
      <c r="N61" s="39">
        <f t="shared" si="53"/>
        <v>0</v>
      </c>
      <c r="O61" s="12">
        <f t="shared" si="53"/>
        <v>0</v>
      </c>
      <c r="P61" s="12">
        <f t="shared" si="53"/>
        <v>0</v>
      </c>
      <c r="Q61" s="12">
        <f t="shared" si="53"/>
        <v>0</v>
      </c>
      <c r="R61" s="39">
        <f t="shared" si="53"/>
        <v>0</v>
      </c>
      <c r="S61" s="12">
        <f t="shared" si="53"/>
        <v>0</v>
      </c>
      <c r="T61" s="12">
        <f t="shared" si="53"/>
        <v>0</v>
      </c>
      <c r="U61" s="12">
        <f t="shared" si="53"/>
        <v>0</v>
      </c>
      <c r="V61" s="39">
        <f t="shared" si="53"/>
        <v>0</v>
      </c>
      <c r="W61" s="24">
        <f t="shared" si="53"/>
        <v>0</v>
      </c>
    </row>
    <row r="62" spans="1:23" ht="18" x14ac:dyDescent="0.25">
      <c r="A62" s="28">
        <v>21</v>
      </c>
      <c r="B62" s="43" t="str">
        <f t="shared" si="50"/>
        <v>Rupetheking</v>
      </c>
      <c r="C62" s="12">
        <f t="shared" si="50"/>
        <v>0</v>
      </c>
      <c r="D62" s="12">
        <f t="shared" ref="D62:W62" si="54">D26</f>
        <v>0</v>
      </c>
      <c r="E62" s="12">
        <f t="shared" si="54"/>
        <v>0</v>
      </c>
      <c r="F62" s="39">
        <f t="shared" si="54"/>
        <v>0</v>
      </c>
      <c r="G62" s="12">
        <f t="shared" si="54"/>
        <v>0</v>
      </c>
      <c r="H62" s="12">
        <f t="shared" si="54"/>
        <v>0</v>
      </c>
      <c r="I62" s="12">
        <f t="shared" si="54"/>
        <v>0</v>
      </c>
      <c r="J62" s="39">
        <f t="shared" si="54"/>
        <v>0</v>
      </c>
      <c r="K62" s="12">
        <f t="shared" si="54"/>
        <v>0</v>
      </c>
      <c r="L62" s="12">
        <f t="shared" si="54"/>
        <v>0</v>
      </c>
      <c r="M62" s="12">
        <f t="shared" si="54"/>
        <v>0</v>
      </c>
      <c r="N62" s="39">
        <f t="shared" si="54"/>
        <v>0</v>
      </c>
      <c r="O62" s="12">
        <f t="shared" si="54"/>
        <v>0</v>
      </c>
      <c r="P62" s="12">
        <f t="shared" si="54"/>
        <v>0</v>
      </c>
      <c r="Q62" s="12">
        <f t="shared" si="54"/>
        <v>0</v>
      </c>
      <c r="R62" s="39">
        <f t="shared" si="54"/>
        <v>0</v>
      </c>
      <c r="S62" s="12">
        <f t="shared" si="54"/>
        <v>0</v>
      </c>
      <c r="T62" s="12">
        <f t="shared" si="54"/>
        <v>0</v>
      </c>
      <c r="U62" s="12">
        <f t="shared" si="54"/>
        <v>0</v>
      </c>
      <c r="V62" s="39">
        <f t="shared" si="54"/>
        <v>0</v>
      </c>
      <c r="W62" s="24">
        <f t="shared" si="54"/>
        <v>0</v>
      </c>
    </row>
    <row r="63" spans="1:23" ht="18" x14ac:dyDescent="0.25">
      <c r="A63" s="28">
        <v>22</v>
      </c>
      <c r="B63" s="43" t="str">
        <f t="shared" si="50"/>
        <v>TLM_Sicily22</v>
      </c>
      <c r="C63" s="12">
        <f t="shared" si="50"/>
        <v>0</v>
      </c>
      <c r="D63" s="12">
        <f t="shared" ref="D63:W63" si="55">D27</f>
        <v>0</v>
      </c>
      <c r="E63" s="12">
        <f t="shared" si="55"/>
        <v>0</v>
      </c>
      <c r="F63" s="39">
        <f t="shared" si="55"/>
        <v>0</v>
      </c>
      <c r="G63" s="12">
        <f t="shared" si="55"/>
        <v>0</v>
      </c>
      <c r="H63" s="12">
        <f t="shared" si="55"/>
        <v>0</v>
      </c>
      <c r="I63" s="12">
        <f t="shared" si="55"/>
        <v>0</v>
      </c>
      <c r="J63" s="39">
        <f t="shared" si="55"/>
        <v>0</v>
      </c>
      <c r="K63" s="12">
        <f t="shared" si="55"/>
        <v>0</v>
      </c>
      <c r="L63" s="12">
        <f t="shared" si="55"/>
        <v>0</v>
      </c>
      <c r="M63" s="12">
        <f t="shared" si="55"/>
        <v>0</v>
      </c>
      <c r="N63" s="39">
        <f t="shared" si="55"/>
        <v>0</v>
      </c>
      <c r="O63" s="12">
        <f t="shared" si="55"/>
        <v>0</v>
      </c>
      <c r="P63" s="12">
        <f t="shared" si="55"/>
        <v>0</v>
      </c>
      <c r="Q63" s="12">
        <f t="shared" si="55"/>
        <v>0</v>
      </c>
      <c r="R63" s="39">
        <f t="shared" si="55"/>
        <v>0</v>
      </c>
      <c r="S63" s="12">
        <f t="shared" si="55"/>
        <v>0</v>
      </c>
      <c r="T63" s="12">
        <f t="shared" si="55"/>
        <v>0</v>
      </c>
      <c r="U63" s="12">
        <f t="shared" si="55"/>
        <v>0</v>
      </c>
      <c r="V63" s="39">
        <f t="shared" si="55"/>
        <v>0</v>
      </c>
      <c r="W63" s="24">
        <f t="shared" si="55"/>
        <v>0</v>
      </c>
    </row>
    <row r="64" spans="1:23" ht="18" x14ac:dyDescent="0.25">
      <c r="A64" s="28">
        <v>23</v>
      </c>
      <c r="B64" s="43" t="str">
        <f t="shared" si="50"/>
        <v>andvea_99</v>
      </c>
      <c r="C64" s="12">
        <f t="shared" si="50"/>
        <v>0</v>
      </c>
      <c r="D64" s="12">
        <f t="shared" ref="D64:W64" si="56">D28</f>
        <v>0</v>
      </c>
      <c r="E64" s="12">
        <f t="shared" si="56"/>
        <v>0</v>
      </c>
      <c r="F64" s="39">
        <f t="shared" si="56"/>
        <v>0</v>
      </c>
      <c r="G64" s="12">
        <f t="shared" si="56"/>
        <v>0</v>
      </c>
      <c r="H64" s="12">
        <f t="shared" si="56"/>
        <v>0</v>
      </c>
      <c r="I64" s="12">
        <f t="shared" si="56"/>
        <v>0</v>
      </c>
      <c r="J64" s="39">
        <f t="shared" si="56"/>
        <v>0</v>
      </c>
      <c r="K64" s="12">
        <f t="shared" si="56"/>
        <v>0</v>
      </c>
      <c r="L64" s="12">
        <f t="shared" si="56"/>
        <v>0</v>
      </c>
      <c r="M64" s="12">
        <f t="shared" si="56"/>
        <v>0</v>
      </c>
      <c r="N64" s="39">
        <f t="shared" si="56"/>
        <v>0</v>
      </c>
      <c r="O64" s="12">
        <f t="shared" si="56"/>
        <v>0</v>
      </c>
      <c r="P64" s="12">
        <f t="shared" si="56"/>
        <v>0</v>
      </c>
      <c r="Q64" s="12">
        <f t="shared" si="56"/>
        <v>0</v>
      </c>
      <c r="R64" s="39">
        <f t="shared" si="56"/>
        <v>0</v>
      </c>
      <c r="S64" s="12">
        <f t="shared" si="56"/>
        <v>0</v>
      </c>
      <c r="T64" s="12">
        <f t="shared" si="56"/>
        <v>0</v>
      </c>
      <c r="U64" s="12">
        <f t="shared" si="56"/>
        <v>0</v>
      </c>
      <c r="V64" s="39">
        <f t="shared" si="56"/>
        <v>0</v>
      </c>
      <c r="W64" s="24">
        <f t="shared" si="56"/>
        <v>0</v>
      </c>
    </row>
    <row r="65" spans="1:23" ht="18" x14ac:dyDescent="0.25">
      <c r="A65" s="28">
        <v>24</v>
      </c>
      <c r="B65" s="43" t="str">
        <f t="shared" si="50"/>
        <v>Febshy</v>
      </c>
      <c r="C65" s="12">
        <f t="shared" si="50"/>
        <v>0</v>
      </c>
      <c r="D65" s="12">
        <f t="shared" ref="D65:W65" si="57">D29</f>
        <v>0</v>
      </c>
      <c r="E65" s="12">
        <f t="shared" si="57"/>
        <v>0</v>
      </c>
      <c r="F65" s="39">
        <f t="shared" si="57"/>
        <v>0</v>
      </c>
      <c r="G65" s="12">
        <f t="shared" si="57"/>
        <v>0</v>
      </c>
      <c r="H65" s="12">
        <f t="shared" si="57"/>
        <v>0</v>
      </c>
      <c r="I65" s="12">
        <f t="shared" si="57"/>
        <v>0</v>
      </c>
      <c r="J65" s="39">
        <f t="shared" si="57"/>
        <v>0</v>
      </c>
      <c r="K65" s="12">
        <f t="shared" si="57"/>
        <v>0</v>
      </c>
      <c r="L65" s="12">
        <f t="shared" si="57"/>
        <v>0</v>
      </c>
      <c r="M65" s="12">
        <f t="shared" si="57"/>
        <v>0</v>
      </c>
      <c r="N65" s="39">
        <f t="shared" si="57"/>
        <v>0</v>
      </c>
      <c r="O65" s="12">
        <f t="shared" si="57"/>
        <v>0</v>
      </c>
      <c r="P65" s="12">
        <f t="shared" si="57"/>
        <v>0</v>
      </c>
      <c r="Q65" s="12">
        <f t="shared" si="57"/>
        <v>0</v>
      </c>
      <c r="R65" s="39">
        <f t="shared" si="57"/>
        <v>0</v>
      </c>
      <c r="S65" s="12">
        <f t="shared" si="57"/>
        <v>0</v>
      </c>
      <c r="T65" s="12">
        <f t="shared" si="57"/>
        <v>0</v>
      </c>
      <c r="U65" s="12">
        <f t="shared" si="57"/>
        <v>0</v>
      </c>
      <c r="V65" s="39">
        <f t="shared" si="57"/>
        <v>0</v>
      </c>
      <c r="W65" s="24">
        <f t="shared" si="57"/>
        <v>0</v>
      </c>
    </row>
    <row r="66" spans="1:23" ht="18" x14ac:dyDescent="0.25">
      <c r="A66" s="28">
        <v>25</v>
      </c>
      <c r="B66" s="43" t="str">
        <f t="shared" si="50"/>
        <v>TLM_michaelFox12</v>
      </c>
      <c r="C66" s="12">
        <f t="shared" si="50"/>
        <v>0</v>
      </c>
      <c r="D66" s="12">
        <f t="shared" ref="D66:W66" si="58">D30</f>
        <v>0</v>
      </c>
      <c r="E66" s="12">
        <f t="shared" si="58"/>
        <v>0</v>
      </c>
      <c r="F66" s="39">
        <f t="shared" si="58"/>
        <v>0</v>
      </c>
      <c r="G66" s="12">
        <f t="shared" si="58"/>
        <v>0</v>
      </c>
      <c r="H66" s="12">
        <f t="shared" si="58"/>
        <v>0</v>
      </c>
      <c r="I66" s="12">
        <f t="shared" si="58"/>
        <v>0</v>
      </c>
      <c r="J66" s="39">
        <f t="shared" si="58"/>
        <v>0</v>
      </c>
      <c r="K66" s="12">
        <f t="shared" si="58"/>
        <v>0</v>
      </c>
      <c r="L66" s="12">
        <f t="shared" si="58"/>
        <v>0</v>
      </c>
      <c r="M66" s="12">
        <f t="shared" si="58"/>
        <v>0</v>
      </c>
      <c r="N66" s="39">
        <f t="shared" si="58"/>
        <v>0</v>
      </c>
      <c r="O66" s="12">
        <f t="shared" si="58"/>
        <v>0</v>
      </c>
      <c r="P66" s="12">
        <f t="shared" si="58"/>
        <v>0</v>
      </c>
      <c r="Q66" s="12">
        <f t="shared" si="58"/>
        <v>0</v>
      </c>
      <c r="R66" s="39">
        <f t="shared" si="58"/>
        <v>0</v>
      </c>
      <c r="S66" s="12">
        <f t="shared" si="58"/>
        <v>0</v>
      </c>
      <c r="T66" s="12">
        <f t="shared" si="58"/>
        <v>0</v>
      </c>
      <c r="U66" s="12">
        <f t="shared" si="58"/>
        <v>0</v>
      </c>
      <c r="V66" s="39">
        <f t="shared" si="58"/>
        <v>0</v>
      </c>
      <c r="W66" s="24">
        <f t="shared" si="58"/>
        <v>0</v>
      </c>
    </row>
    <row r="67" spans="1:23" ht="18" x14ac:dyDescent="0.25">
      <c r="A67" s="28">
        <v>26</v>
      </c>
      <c r="B67" s="43" t="str">
        <f t="shared" si="50"/>
        <v>Tonyroto74</v>
      </c>
      <c r="C67" s="12">
        <f t="shared" si="50"/>
        <v>0</v>
      </c>
      <c r="D67" s="12">
        <f t="shared" ref="D67:W67" si="59">D31</f>
        <v>0</v>
      </c>
      <c r="E67" s="12">
        <f t="shared" si="59"/>
        <v>0</v>
      </c>
      <c r="F67" s="39">
        <f t="shared" si="59"/>
        <v>0</v>
      </c>
      <c r="G67" s="12">
        <f t="shared" si="59"/>
        <v>0</v>
      </c>
      <c r="H67" s="12">
        <f t="shared" si="59"/>
        <v>0</v>
      </c>
      <c r="I67" s="12">
        <f t="shared" si="59"/>
        <v>0</v>
      </c>
      <c r="J67" s="39">
        <f t="shared" si="59"/>
        <v>0</v>
      </c>
      <c r="K67" s="12">
        <f t="shared" si="59"/>
        <v>0</v>
      </c>
      <c r="L67" s="12">
        <f t="shared" si="59"/>
        <v>0</v>
      </c>
      <c r="M67" s="12">
        <f t="shared" si="59"/>
        <v>0</v>
      </c>
      <c r="N67" s="39">
        <f t="shared" si="59"/>
        <v>0</v>
      </c>
      <c r="O67" s="12">
        <f t="shared" si="59"/>
        <v>0</v>
      </c>
      <c r="P67" s="12">
        <f t="shared" si="59"/>
        <v>0</v>
      </c>
      <c r="Q67" s="12">
        <f t="shared" si="59"/>
        <v>0</v>
      </c>
      <c r="R67" s="39">
        <f t="shared" si="59"/>
        <v>0</v>
      </c>
      <c r="S67" s="12">
        <f t="shared" si="59"/>
        <v>0</v>
      </c>
      <c r="T67" s="12">
        <f t="shared" si="59"/>
        <v>0</v>
      </c>
      <c r="U67" s="12">
        <f t="shared" si="59"/>
        <v>0</v>
      </c>
      <c r="V67" s="39">
        <f t="shared" si="59"/>
        <v>0</v>
      </c>
      <c r="W67" s="24">
        <f t="shared" si="59"/>
        <v>0</v>
      </c>
    </row>
    <row r="68" spans="1:23" ht="18" x14ac:dyDescent="0.25">
      <c r="A68" s="28">
        <v>27</v>
      </c>
      <c r="B68" s="43" t="str">
        <f t="shared" si="50"/>
        <v>TLM_dimaa66</v>
      </c>
      <c r="C68" s="12">
        <f t="shared" si="50"/>
        <v>0</v>
      </c>
      <c r="D68" s="12">
        <f t="shared" ref="D68:W68" si="60">D32</f>
        <v>0</v>
      </c>
      <c r="E68" s="12">
        <f t="shared" si="60"/>
        <v>0</v>
      </c>
      <c r="F68" s="39">
        <f t="shared" si="60"/>
        <v>0</v>
      </c>
      <c r="G68" s="12">
        <f t="shared" si="60"/>
        <v>0</v>
      </c>
      <c r="H68" s="12">
        <f t="shared" si="60"/>
        <v>0</v>
      </c>
      <c r="I68" s="12">
        <f t="shared" si="60"/>
        <v>0</v>
      </c>
      <c r="J68" s="39">
        <f t="shared" si="60"/>
        <v>0</v>
      </c>
      <c r="K68" s="12">
        <f t="shared" si="60"/>
        <v>0</v>
      </c>
      <c r="L68" s="12">
        <f t="shared" si="60"/>
        <v>0</v>
      </c>
      <c r="M68" s="12">
        <f t="shared" si="60"/>
        <v>0</v>
      </c>
      <c r="N68" s="39">
        <f t="shared" si="60"/>
        <v>0</v>
      </c>
      <c r="O68" s="12">
        <f t="shared" si="60"/>
        <v>0</v>
      </c>
      <c r="P68" s="12">
        <f t="shared" si="60"/>
        <v>0</v>
      </c>
      <c r="Q68" s="12">
        <f t="shared" si="60"/>
        <v>0</v>
      </c>
      <c r="R68" s="39">
        <f t="shared" si="60"/>
        <v>0</v>
      </c>
      <c r="S68" s="12">
        <f t="shared" si="60"/>
        <v>0</v>
      </c>
      <c r="T68" s="12">
        <f t="shared" si="60"/>
        <v>0</v>
      </c>
      <c r="U68" s="12">
        <f t="shared" si="60"/>
        <v>0</v>
      </c>
      <c r="V68" s="39">
        <f t="shared" si="60"/>
        <v>0</v>
      </c>
      <c r="W68" s="24">
        <f t="shared" si="60"/>
        <v>0</v>
      </c>
    </row>
    <row r="69" spans="1:23" ht="18" x14ac:dyDescent="0.25">
      <c r="A69" s="28">
        <v>28</v>
      </c>
      <c r="B69" s="43" t="str">
        <f t="shared" si="50"/>
        <v>Verce90</v>
      </c>
      <c r="C69" s="12">
        <f t="shared" si="50"/>
        <v>0</v>
      </c>
      <c r="D69" s="12">
        <f t="shared" ref="D69:W69" si="61">D33</f>
        <v>0</v>
      </c>
      <c r="E69" s="12">
        <f t="shared" si="61"/>
        <v>0</v>
      </c>
      <c r="F69" s="39">
        <f t="shared" si="61"/>
        <v>0</v>
      </c>
      <c r="G69" s="12">
        <f t="shared" si="61"/>
        <v>0</v>
      </c>
      <c r="H69" s="12">
        <f t="shared" si="61"/>
        <v>0</v>
      </c>
      <c r="I69" s="12">
        <f t="shared" si="61"/>
        <v>0</v>
      </c>
      <c r="J69" s="39">
        <f t="shared" si="61"/>
        <v>0</v>
      </c>
      <c r="K69" s="12">
        <f t="shared" si="61"/>
        <v>0</v>
      </c>
      <c r="L69" s="12">
        <f t="shared" si="61"/>
        <v>0</v>
      </c>
      <c r="M69" s="12">
        <f t="shared" si="61"/>
        <v>0</v>
      </c>
      <c r="N69" s="39">
        <f t="shared" si="61"/>
        <v>0</v>
      </c>
      <c r="O69" s="12">
        <f t="shared" si="61"/>
        <v>0</v>
      </c>
      <c r="P69" s="12">
        <f t="shared" si="61"/>
        <v>0</v>
      </c>
      <c r="Q69" s="12">
        <f t="shared" si="61"/>
        <v>0</v>
      </c>
      <c r="R69" s="39">
        <f t="shared" si="61"/>
        <v>0</v>
      </c>
      <c r="S69" s="12">
        <f t="shared" si="61"/>
        <v>0</v>
      </c>
      <c r="T69" s="12">
        <f t="shared" si="61"/>
        <v>0</v>
      </c>
      <c r="U69" s="12">
        <f t="shared" si="61"/>
        <v>0</v>
      </c>
      <c r="V69" s="39">
        <f t="shared" si="61"/>
        <v>0</v>
      </c>
      <c r="W69" s="24">
        <f t="shared" si="61"/>
        <v>0</v>
      </c>
    </row>
    <row r="70" spans="1:23" ht="18" x14ac:dyDescent="0.25">
      <c r="A70" s="28">
        <v>29</v>
      </c>
      <c r="B70" s="43" t="str">
        <f t="shared" si="50"/>
        <v>Ulix1990</v>
      </c>
      <c r="C70" s="12">
        <f t="shared" si="50"/>
        <v>0</v>
      </c>
      <c r="D70" s="12">
        <f t="shared" ref="D70:W70" si="62">D34</f>
        <v>0</v>
      </c>
      <c r="E70" s="12">
        <f t="shared" si="62"/>
        <v>0</v>
      </c>
      <c r="F70" s="39">
        <f t="shared" si="62"/>
        <v>0</v>
      </c>
      <c r="G70" s="12">
        <f t="shared" si="62"/>
        <v>0</v>
      </c>
      <c r="H70" s="12">
        <f t="shared" si="62"/>
        <v>0</v>
      </c>
      <c r="I70" s="12">
        <f t="shared" si="62"/>
        <v>0</v>
      </c>
      <c r="J70" s="39">
        <f t="shared" si="62"/>
        <v>0</v>
      </c>
      <c r="K70" s="12">
        <f t="shared" si="62"/>
        <v>0</v>
      </c>
      <c r="L70" s="12">
        <f t="shared" si="62"/>
        <v>0</v>
      </c>
      <c r="M70" s="12">
        <f t="shared" si="62"/>
        <v>0</v>
      </c>
      <c r="N70" s="39">
        <f t="shared" si="62"/>
        <v>0</v>
      </c>
      <c r="O70" s="12">
        <f t="shared" si="62"/>
        <v>0</v>
      </c>
      <c r="P70" s="12">
        <f t="shared" si="62"/>
        <v>0</v>
      </c>
      <c r="Q70" s="12">
        <f t="shared" si="62"/>
        <v>0</v>
      </c>
      <c r="R70" s="39">
        <f t="shared" si="62"/>
        <v>0</v>
      </c>
      <c r="S70" s="12">
        <f t="shared" si="62"/>
        <v>0</v>
      </c>
      <c r="T70" s="12">
        <f t="shared" si="62"/>
        <v>0</v>
      </c>
      <c r="U70" s="12">
        <f t="shared" si="62"/>
        <v>0</v>
      </c>
      <c r="V70" s="39">
        <f t="shared" si="62"/>
        <v>0</v>
      </c>
      <c r="W70" s="24">
        <f t="shared" si="62"/>
        <v>0</v>
      </c>
    </row>
    <row r="71" spans="1:23" ht="18" x14ac:dyDescent="0.25">
      <c r="A71" s="28">
        <v>30</v>
      </c>
      <c r="B71" s="43" t="str">
        <f t="shared" si="50"/>
        <v>CTR_ocior-78</v>
      </c>
      <c r="C71" s="12">
        <f t="shared" si="50"/>
        <v>0</v>
      </c>
      <c r="D71" s="12">
        <f t="shared" ref="D71:W71" si="63">D35</f>
        <v>0</v>
      </c>
      <c r="E71" s="12">
        <f t="shared" si="63"/>
        <v>0</v>
      </c>
      <c r="F71" s="39">
        <f t="shared" si="63"/>
        <v>0</v>
      </c>
      <c r="G71" s="12">
        <f t="shared" si="63"/>
        <v>0</v>
      </c>
      <c r="H71" s="12">
        <f t="shared" si="63"/>
        <v>0</v>
      </c>
      <c r="I71" s="12">
        <f t="shared" si="63"/>
        <v>0</v>
      </c>
      <c r="J71" s="39">
        <f t="shared" si="63"/>
        <v>0</v>
      </c>
      <c r="K71" s="12">
        <f t="shared" si="63"/>
        <v>0</v>
      </c>
      <c r="L71" s="12">
        <f t="shared" si="63"/>
        <v>0</v>
      </c>
      <c r="M71" s="12">
        <f t="shared" si="63"/>
        <v>0</v>
      </c>
      <c r="N71" s="39">
        <f t="shared" si="63"/>
        <v>0</v>
      </c>
      <c r="O71" s="12">
        <f t="shared" si="63"/>
        <v>0</v>
      </c>
      <c r="P71" s="12">
        <f t="shared" si="63"/>
        <v>0</v>
      </c>
      <c r="Q71" s="12">
        <f t="shared" si="63"/>
        <v>0</v>
      </c>
      <c r="R71" s="39">
        <f t="shared" si="63"/>
        <v>0</v>
      </c>
      <c r="S71" s="12">
        <f t="shared" si="63"/>
        <v>0</v>
      </c>
      <c r="T71" s="12">
        <f t="shared" si="63"/>
        <v>0</v>
      </c>
      <c r="U71" s="12">
        <f t="shared" si="63"/>
        <v>0</v>
      </c>
      <c r="V71" s="39">
        <f t="shared" si="63"/>
        <v>0</v>
      </c>
      <c r="W71" s="24">
        <f t="shared" si="63"/>
        <v>0</v>
      </c>
    </row>
    <row r="72" spans="1:23" ht="18" x14ac:dyDescent="0.25">
      <c r="A72" s="28">
        <v>31</v>
      </c>
      <c r="B72" s="43" t="str">
        <f t="shared" si="50"/>
        <v>TLM_SKIZZO 34</v>
      </c>
      <c r="C72" s="12">
        <f t="shared" si="50"/>
        <v>0</v>
      </c>
      <c r="D72" s="12">
        <f t="shared" ref="D72:W72" si="64">D36</f>
        <v>0</v>
      </c>
      <c r="E72" s="12">
        <f t="shared" si="64"/>
        <v>0</v>
      </c>
      <c r="F72" s="39">
        <f t="shared" si="64"/>
        <v>0</v>
      </c>
      <c r="G72" s="12">
        <f t="shared" si="64"/>
        <v>0</v>
      </c>
      <c r="H72" s="12">
        <f t="shared" si="64"/>
        <v>0</v>
      </c>
      <c r="I72" s="12">
        <f t="shared" si="64"/>
        <v>0</v>
      </c>
      <c r="J72" s="39">
        <f t="shared" si="64"/>
        <v>0</v>
      </c>
      <c r="K72" s="12">
        <f t="shared" si="64"/>
        <v>0</v>
      </c>
      <c r="L72" s="12">
        <f t="shared" si="64"/>
        <v>0</v>
      </c>
      <c r="M72" s="12">
        <f t="shared" si="64"/>
        <v>0</v>
      </c>
      <c r="N72" s="39">
        <f t="shared" si="64"/>
        <v>0</v>
      </c>
      <c r="O72" s="12">
        <f t="shared" si="64"/>
        <v>0</v>
      </c>
      <c r="P72" s="12">
        <f t="shared" si="64"/>
        <v>0</v>
      </c>
      <c r="Q72" s="12">
        <f t="shared" si="64"/>
        <v>0</v>
      </c>
      <c r="R72" s="39">
        <f t="shared" si="64"/>
        <v>0</v>
      </c>
      <c r="S72" s="12">
        <f t="shared" si="64"/>
        <v>0</v>
      </c>
      <c r="T72" s="12">
        <f t="shared" si="64"/>
        <v>0</v>
      </c>
      <c r="U72" s="12">
        <f t="shared" si="64"/>
        <v>0</v>
      </c>
      <c r="V72" s="39">
        <f t="shared" si="64"/>
        <v>0</v>
      </c>
      <c r="W72" s="24">
        <f t="shared" si="64"/>
        <v>0</v>
      </c>
    </row>
    <row r="73" spans="1:23" ht="18" x14ac:dyDescent="0.25">
      <c r="A73" s="28">
        <v>32</v>
      </c>
      <c r="B73" s="43" t="str">
        <f t="shared" si="50"/>
        <v>Mikedb__91__</v>
      </c>
      <c r="C73" s="12">
        <f t="shared" si="50"/>
        <v>0</v>
      </c>
      <c r="D73" s="12">
        <f t="shared" ref="D73:W73" si="65">D37</f>
        <v>0</v>
      </c>
      <c r="E73" s="12">
        <f t="shared" si="65"/>
        <v>0</v>
      </c>
      <c r="F73" s="39">
        <f t="shared" si="65"/>
        <v>0</v>
      </c>
      <c r="G73" s="12">
        <f t="shared" si="65"/>
        <v>0</v>
      </c>
      <c r="H73" s="12">
        <f t="shared" si="65"/>
        <v>0</v>
      </c>
      <c r="I73" s="12">
        <f t="shared" si="65"/>
        <v>0</v>
      </c>
      <c r="J73" s="39">
        <f t="shared" si="65"/>
        <v>0</v>
      </c>
      <c r="K73" s="12">
        <f t="shared" si="65"/>
        <v>0</v>
      </c>
      <c r="L73" s="12">
        <f t="shared" si="65"/>
        <v>0</v>
      </c>
      <c r="M73" s="12">
        <f t="shared" si="65"/>
        <v>0</v>
      </c>
      <c r="N73" s="39">
        <f t="shared" si="65"/>
        <v>0</v>
      </c>
      <c r="O73" s="12">
        <f t="shared" si="65"/>
        <v>0</v>
      </c>
      <c r="P73" s="12">
        <f t="shared" si="65"/>
        <v>0</v>
      </c>
      <c r="Q73" s="12">
        <f t="shared" si="65"/>
        <v>0</v>
      </c>
      <c r="R73" s="39">
        <f t="shared" si="65"/>
        <v>0</v>
      </c>
      <c r="S73" s="12">
        <f t="shared" si="65"/>
        <v>0</v>
      </c>
      <c r="T73" s="12">
        <f t="shared" si="65"/>
        <v>0</v>
      </c>
      <c r="U73" s="12">
        <f t="shared" si="65"/>
        <v>0</v>
      </c>
      <c r="V73" s="39">
        <f t="shared" si="65"/>
        <v>0</v>
      </c>
      <c r="W73" s="24">
        <f t="shared" si="65"/>
        <v>0</v>
      </c>
    </row>
  </sheetData>
  <mergeCells count="18">
    <mergeCell ref="W40:W41"/>
    <mergeCell ref="A40:B41"/>
    <mergeCell ref="O40:R40"/>
    <mergeCell ref="S40:V40"/>
    <mergeCell ref="C40:F40"/>
    <mergeCell ref="G40:J40"/>
    <mergeCell ref="K40:N40"/>
    <mergeCell ref="A2:A3"/>
    <mergeCell ref="A1:W1"/>
    <mergeCell ref="A4:B4"/>
    <mergeCell ref="A21:B21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I25" sqref="I25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422</v>
      </c>
      <c r="I1" t="s">
        <v>425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423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423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423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423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423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423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423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423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423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423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423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423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424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62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423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423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423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423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423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423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423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423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423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423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423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423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423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423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423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423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423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423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423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423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423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423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423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423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423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423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423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423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423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423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423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423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423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423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423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423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423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423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423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423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423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423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423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423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423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423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423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423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423</v>
      </c>
    </row>
    <row r="64" spans="1:11" x14ac:dyDescent="0.2">
      <c r="A64">
        <v>63</v>
      </c>
      <c r="B64" t="s">
        <v>393</v>
      </c>
      <c r="C64" t="s">
        <v>421</v>
      </c>
      <c r="D64" t="s">
        <v>87</v>
      </c>
      <c r="G64" t="s">
        <v>114</v>
      </c>
      <c r="H64" t="s">
        <v>423</v>
      </c>
      <c r="I64">
        <v>25</v>
      </c>
    </row>
    <row r="65" spans="1:9" x14ac:dyDescent="0.2">
      <c r="A65">
        <v>64</v>
      </c>
      <c r="B65" t="s">
        <v>418</v>
      </c>
      <c r="C65" t="s">
        <v>419</v>
      </c>
      <c r="D65" t="s">
        <v>87</v>
      </c>
      <c r="G65" t="s">
        <v>114</v>
      </c>
      <c r="H65" t="s">
        <v>423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423</v>
      </c>
      <c r="I66">
        <v>77</v>
      </c>
    </row>
    <row r="67" spans="1:9" x14ac:dyDescent="0.2">
      <c r="A67">
        <v>66</v>
      </c>
      <c r="B67" t="s">
        <v>407</v>
      </c>
      <c r="C67" t="s">
        <v>420</v>
      </c>
      <c r="D67" t="s">
        <v>87</v>
      </c>
      <c r="G67" t="s">
        <v>114</v>
      </c>
      <c r="H67" t="s">
        <v>423</v>
      </c>
      <c r="I67">
        <v>104</v>
      </c>
    </row>
    <row r="68" spans="1:9" x14ac:dyDescent="0.2">
      <c r="D68" t="s">
        <v>87</v>
      </c>
      <c r="G68" t="s">
        <v>114</v>
      </c>
      <c r="H68" t="s">
        <v>423</v>
      </c>
    </row>
    <row r="69" spans="1:9" x14ac:dyDescent="0.2">
      <c r="D69" t="s">
        <v>87</v>
      </c>
      <c r="G69" t="s">
        <v>114</v>
      </c>
      <c r="H69" t="s">
        <v>423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3"/>
  <sheetViews>
    <sheetView zoomScale="93" zoomScaleNormal="121" workbookViewId="0">
      <selection activeCell="M28" sqref="M2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89" t="s">
        <v>416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6" customHeight="1" x14ac:dyDescent="0.2">
      <c r="A2" s="88" t="s">
        <v>0</v>
      </c>
      <c r="B2" s="94" t="s">
        <v>14</v>
      </c>
      <c r="C2" s="96" t="s">
        <v>411</v>
      </c>
      <c r="D2" s="97"/>
      <c r="E2" s="97"/>
      <c r="F2" s="98"/>
      <c r="G2" s="96" t="s">
        <v>412</v>
      </c>
      <c r="H2" s="97"/>
      <c r="I2" s="97"/>
      <c r="J2" s="98"/>
      <c r="K2" s="96" t="s">
        <v>413</v>
      </c>
      <c r="L2" s="97"/>
      <c r="M2" s="97"/>
      <c r="N2" s="98"/>
      <c r="O2" s="96" t="s">
        <v>414</v>
      </c>
      <c r="P2" s="97"/>
      <c r="Q2" s="97"/>
      <c r="R2" s="98"/>
      <c r="S2" s="96" t="s">
        <v>415</v>
      </c>
      <c r="T2" s="97"/>
      <c r="U2" s="97"/>
      <c r="V2" s="98"/>
      <c r="W2" s="95" t="s">
        <v>33</v>
      </c>
    </row>
    <row r="3" spans="1:23" ht="27" x14ac:dyDescent="0.2">
      <c r="A3" s="88"/>
      <c r="B3" s="94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5"/>
    </row>
    <row r="4" spans="1:23" ht="19" x14ac:dyDescent="0.2">
      <c r="A4" s="90" t="s">
        <v>29</v>
      </c>
      <c r="B4" s="91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Generale'!W5:W20,-1)=0,"",_xlfn.SORTBY('Classifica Generale'!B5:W20,'Classifica Generale'!W5:W20,-1))</f>
        <v>TLM_wid83</v>
      </c>
      <c r="C5" s="12" t="str">
        <v/>
      </c>
      <c r="D5" s="12" t="str">
        <v/>
      </c>
      <c r="E5" s="12" t="str">
        <v/>
      </c>
      <c r="F5" s="39" t="str">
        <v/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 t="str">
        <v/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 t="str">
        <v/>
      </c>
      <c r="E6" s="20" t="str">
        <v/>
      </c>
      <c r="F6" s="39" t="str">
        <v/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 t="str">
        <v/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 t="str">
        <v/>
      </c>
    </row>
    <row r="8" spans="1:23" ht="18" x14ac:dyDescent="0.25">
      <c r="A8" s="28" t="s">
        <v>5</v>
      </c>
      <c r="B8" s="43" t="str">
        <v>Bobgre93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 t="str">
        <v/>
      </c>
    </row>
    <row r="9" spans="1:23" ht="18" x14ac:dyDescent="0.25">
      <c r="A9" s="28" t="s">
        <v>6</v>
      </c>
      <c r="B9" s="43" t="str">
        <v>xRUA85x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 t="str">
        <v/>
      </c>
    </row>
    <row r="10" spans="1:23" ht="18" x14ac:dyDescent="0.25">
      <c r="A10" s="28" t="s">
        <v>7</v>
      </c>
      <c r="B10" s="43" t="str">
        <v>TheGuarny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 t="str">
        <v/>
      </c>
    </row>
    <row r="11" spans="1:23" ht="18" x14ac:dyDescent="0.25">
      <c r="A11" s="29" t="s">
        <v>8</v>
      </c>
      <c r="B11" s="43" t="str">
        <v>Patanel86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 t="str">
        <v/>
      </c>
    </row>
    <row r="12" spans="1:23" ht="18" x14ac:dyDescent="0.25">
      <c r="A12" s="29" t="s">
        <v>9</v>
      </c>
      <c r="B12" s="43" t="str">
        <v>TLM_Kappa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 t="str">
        <v/>
      </c>
    </row>
    <row r="13" spans="1:23" ht="18" x14ac:dyDescent="0.25">
      <c r="A13" s="28" t="s">
        <v>10</v>
      </c>
      <c r="B13" s="43" t="str">
        <v>Verce90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 t="str">
        <v/>
      </c>
    </row>
    <row r="14" spans="1:23" ht="18" x14ac:dyDescent="0.25">
      <c r="A14" s="28" t="s">
        <v>11</v>
      </c>
      <c r="B14" s="43" t="str">
        <v>selpa974</v>
      </c>
      <c r="C14" s="12" t="str">
        <v/>
      </c>
      <c r="D14" s="12" t="str">
        <v/>
      </c>
      <c r="E14" s="12" t="str">
        <v/>
      </c>
      <c r="F14" s="39" t="str">
        <v/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 t="str">
        <v/>
      </c>
    </row>
    <row r="15" spans="1:23" ht="18" x14ac:dyDescent="0.25">
      <c r="A15" s="28" t="s">
        <v>12</v>
      </c>
      <c r="B15" s="43" t="str">
        <v>TLM_SKIZZO 34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 t="str">
        <v/>
      </c>
    </row>
    <row r="16" spans="1:23" ht="18" x14ac:dyDescent="0.25">
      <c r="A16" s="28" t="s">
        <v>13</v>
      </c>
      <c r="B16" s="43" t="str">
        <v>Silentium884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 t="str">
        <v/>
      </c>
    </row>
    <row r="17" spans="1:23" ht="18" x14ac:dyDescent="0.25">
      <c r="A17" s="29" t="s">
        <v>20</v>
      </c>
      <c r="B17" s="43" t="str">
        <v>Ulix1990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 t="str">
        <v/>
      </c>
    </row>
    <row r="18" spans="1:23" ht="18" x14ac:dyDescent="0.25">
      <c r="A18" s="29" t="s">
        <v>21</v>
      </c>
      <c r="B18" s="43" t="str">
        <v>Isnotacrime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Asseemazz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Liotru1979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92" t="s">
        <v>30</v>
      </c>
      <c r="B21" s="93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Generale'!W22:W37,-1)=0,"",_xlfn.SORTBY('Classifica Generale'!B22:W37,'Classifica Generale'!W22:W37,-1))</f>
        <v>Chry-77</v>
      </c>
      <c r="C22" s="12" t="str">
        <v/>
      </c>
      <c r="D22" s="12" t="str">
        <v/>
      </c>
      <c r="E22" s="12" t="str">
        <v/>
      </c>
      <c r="F22" s="39" t="str">
        <v/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 t="str">
        <v/>
      </c>
    </row>
    <row r="23" spans="1:23" ht="18" x14ac:dyDescent="0.25">
      <c r="A23" s="26" t="s">
        <v>3</v>
      </c>
      <c r="B23" s="43" t="str">
        <v>mark126p</v>
      </c>
      <c r="C23" s="20" t="str">
        <v/>
      </c>
      <c r="D23" s="20" t="str">
        <v/>
      </c>
      <c r="E23" s="20" t="str">
        <v/>
      </c>
      <c r="F23" s="39" t="str">
        <v/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 t="str">
        <v/>
      </c>
    </row>
    <row r="24" spans="1:23" ht="18" x14ac:dyDescent="0.25">
      <c r="A24" s="27" t="s">
        <v>4</v>
      </c>
      <c r="B24" s="43" t="str">
        <v>Parenji</v>
      </c>
      <c r="C24" s="12" t="str">
        <v/>
      </c>
      <c r="D24" s="12" t="str">
        <v/>
      </c>
      <c r="E24" s="12" t="str">
        <v/>
      </c>
      <c r="F24" s="39" t="str">
        <v/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 t="str">
        <v/>
      </c>
    </row>
    <row r="25" spans="1:23" ht="18" x14ac:dyDescent="0.25">
      <c r="A25" s="28" t="s">
        <v>5</v>
      </c>
      <c r="B25" s="43" t="str">
        <v>Asseemazz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 t="str">
        <v/>
      </c>
    </row>
    <row r="26" spans="1:23" ht="18" x14ac:dyDescent="0.25">
      <c r="A26" s="28" t="s">
        <v>6</v>
      </c>
      <c r="B26" s="43" t="str">
        <v>Rupetheking</v>
      </c>
      <c r="C26" s="40" t="str">
        <v/>
      </c>
      <c r="D26" s="20" t="str">
        <v/>
      </c>
      <c r="E26" s="20" t="str">
        <v/>
      </c>
      <c r="F26" s="39" t="str">
        <v/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 t="str">
        <v/>
      </c>
    </row>
    <row r="27" spans="1:23" ht="18" x14ac:dyDescent="0.25">
      <c r="A27" s="28" t="s">
        <v>7</v>
      </c>
      <c r="B27" s="43" t="str">
        <v>TLM_Sicily22</v>
      </c>
      <c r="C27" s="12" t="str">
        <v/>
      </c>
      <c r="D27" s="12" t="str">
        <v/>
      </c>
      <c r="E27" s="12" t="str">
        <v/>
      </c>
      <c r="F27" s="39" t="str">
        <v/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 t="str">
        <v/>
      </c>
    </row>
    <row r="28" spans="1:23" ht="18" x14ac:dyDescent="0.25">
      <c r="A28" s="29" t="s">
        <v>8</v>
      </c>
      <c r="B28" s="43" t="str">
        <v>andvea_99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 t="str">
        <v/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 t="str">
        <v/>
      </c>
    </row>
    <row r="30" spans="1:23" ht="18" x14ac:dyDescent="0.25">
      <c r="A30" s="28" t="s">
        <v>10</v>
      </c>
      <c r="B30" s="43" t="str">
        <v>TLM_michaelFox12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 t="str">
        <v/>
      </c>
    </row>
    <row r="31" spans="1:23" ht="18" x14ac:dyDescent="0.25">
      <c r="A31" s="28" t="s">
        <v>11</v>
      </c>
      <c r="B31" s="43" t="str">
        <v>Tonyroto74</v>
      </c>
      <c r="C31" s="12" t="str">
        <v/>
      </c>
      <c r="D31" s="12" t="str">
        <v/>
      </c>
      <c r="E31" s="12" t="str">
        <v/>
      </c>
      <c r="F31" s="39" t="str">
        <v/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 t="str">
        <v/>
      </c>
    </row>
    <row r="32" spans="1:23" ht="18" x14ac:dyDescent="0.25">
      <c r="A32" s="28" t="s">
        <v>12</v>
      </c>
      <c r="B32" s="43" t="str">
        <v>TLM_dimaa66</v>
      </c>
      <c r="C32" s="40" t="str">
        <v/>
      </c>
      <c r="D32" s="20" t="str">
        <v/>
      </c>
      <c r="E32" s="20" t="str">
        <v/>
      </c>
      <c r="F32" s="39" t="str">
        <v/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 t="str">
        <v/>
      </c>
    </row>
    <row r="33" spans="1:23" ht="18" x14ac:dyDescent="0.25">
      <c r="A33" s="28" t="s">
        <v>13</v>
      </c>
      <c r="B33" s="43" t="str">
        <v>Verce90</v>
      </c>
      <c r="C33" s="12" t="str">
        <v/>
      </c>
      <c r="D33" s="12" t="str">
        <v/>
      </c>
      <c r="E33" s="12" t="str">
        <v/>
      </c>
      <c r="F33" s="39" t="str">
        <v/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 t="str">
        <v/>
      </c>
    </row>
    <row r="34" spans="1:23" ht="18" x14ac:dyDescent="0.25">
      <c r="A34" s="29" t="s">
        <v>20</v>
      </c>
      <c r="B34" s="43" t="str">
        <v>Ulix1990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 t="str">
        <v/>
      </c>
    </row>
    <row r="35" spans="1:23" ht="18" x14ac:dyDescent="0.25">
      <c r="A35" s="29" t="s">
        <v>21</v>
      </c>
      <c r="B35" s="43" t="str">
        <v>CTR_ocior-78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TLM_SKIZZO 34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Mikedb__91__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>
      <c r="A40" s="99" t="s">
        <v>38</v>
      </c>
      <c r="B40" s="100"/>
      <c r="C40" s="96" t="s">
        <v>411</v>
      </c>
      <c r="D40" s="97"/>
      <c r="E40" s="97"/>
      <c r="F40" s="98"/>
      <c r="G40" s="96" t="s">
        <v>412</v>
      </c>
      <c r="H40" s="97"/>
      <c r="I40" s="97"/>
      <c r="J40" s="98"/>
      <c r="K40" s="96" t="s">
        <v>413</v>
      </c>
      <c r="L40" s="97"/>
      <c r="M40" s="97"/>
      <c r="N40" s="98"/>
      <c r="O40" s="96" t="s">
        <v>414</v>
      </c>
      <c r="P40" s="97"/>
      <c r="Q40" s="97"/>
      <c r="R40" s="98"/>
      <c r="S40" s="96" t="s">
        <v>415</v>
      </c>
      <c r="T40" s="97"/>
      <c r="U40" s="97"/>
      <c r="V40" s="98"/>
      <c r="W40" s="95" t="s">
        <v>33</v>
      </c>
    </row>
    <row r="41" spans="1:23" ht="27" x14ac:dyDescent="0.2">
      <c r="A41" s="101"/>
      <c r="B41" s="102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95"/>
    </row>
    <row r="42" spans="1:23" ht="18" x14ac:dyDescent="0.25">
      <c r="A42" s="28">
        <v>1</v>
      </c>
      <c r="B42" s="43" t="str">
        <f>B5</f>
        <v>TLM_wid83</v>
      </c>
      <c r="C42" s="12" t="str">
        <f>C5</f>
        <v/>
      </c>
      <c r="D42" s="12" t="str">
        <f t="shared" ref="D42:W42" si="0">D5</f>
        <v/>
      </c>
      <c r="E42" s="12" t="str">
        <f t="shared" si="0"/>
        <v/>
      </c>
      <c r="F42" s="39" t="str">
        <f t="shared" si="0"/>
        <v/>
      </c>
      <c r="G42" s="12" t="str">
        <f t="shared" si="0"/>
        <v/>
      </c>
      <c r="H42" s="12" t="str">
        <f t="shared" si="0"/>
        <v/>
      </c>
      <c r="I42" s="12" t="str">
        <f t="shared" si="0"/>
        <v/>
      </c>
      <c r="J42" s="39" t="str">
        <f t="shared" si="0"/>
        <v/>
      </c>
      <c r="K42" s="12" t="str">
        <f t="shared" si="0"/>
        <v/>
      </c>
      <c r="L42" s="12" t="str">
        <f t="shared" si="0"/>
        <v/>
      </c>
      <c r="M42" s="12" t="str">
        <f t="shared" si="0"/>
        <v/>
      </c>
      <c r="N42" s="39" t="str">
        <f t="shared" si="0"/>
        <v/>
      </c>
      <c r="O42" s="12" t="str">
        <f t="shared" si="0"/>
        <v/>
      </c>
      <c r="P42" s="12" t="str">
        <f t="shared" si="0"/>
        <v/>
      </c>
      <c r="Q42" s="12" t="str">
        <f t="shared" si="0"/>
        <v/>
      </c>
      <c r="R42" s="39" t="str">
        <f t="shared" si="0"/>
        <v/>
      </c>
      <c r="S42" s="12" t="str">
        <f t="shared" si="0"/>
        <v/>
      </c>
      <c r="T42" s="12" t="str">
        <f t="shared" si="0"/>
        <v/>
      </c>
      <c r="U42" s="12" t="str">
        <f t="shared" si="0"/>
        <v/>
      </c>
      <c r="V42" s="39" t="str">
        <f t="shared" si="0"/>
        <v/>
      </c>
      <c r="W42" s="24" t="str">
        <f t="shared" si="0"/>
        <v/>
      </c>
    </row>
    <row r="43" spans="1:23" ht="18" x14ac:dyDescent="0.25">
      <c r="A43" s="28">
        <v>2</v>
      </c>
      <c r="B43" s="43" t="str">
        <f>B6</f>
        <v>Rupetheking</v>
      </c>
      <c r="C43" s="12" t="str">
        <f>C6</f>
        <v/>
      </c>
      <c r="D43" s="12" t="str">
        <f t="shared" ref="D43:W43" si="1">D6</f>
        <v/>
      </c>
      <c r="E43" s="12" t="str">
        <f t="shared" si="1"/>
        <v/>
      </c>
      <c r="F43" s="39" t="str">
        <f t="shared" si="1"/>
        <v/>
      </c>
      <c r="G43" s="12" t="str">
        <f t="shared" si="1"/>
        <v/>
      </c>
      <c r="H43" s="12" t="str">
        <f t="shared" si="1"/>
        <v/>
      </c>
      <c r="I43" s="12" t="str">
        <f t="shared" si="1"/>
        <v/>
      </c>
      <c r="J43" s="39" t="str">
        <f t="shared" si="1"/>
        <v/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 t="str">
        <f t="shared" si="1"/>
        <v/>
      </c>
    </row>
    <row r="44" spans="1:23" ht="18" x14ac:dyDescent="0.25">
      <c r="A44" s="28">
        <v>3</v>
      </c>
      <c r="B44" s="43" t="str">
        <f t="shared" ref="B44:C57" si="2">B7</f>
        <v>andvea_99</v>
      </c>
      <c r="C44" s="12" t="str">
        <f>C7</f>
        <v/>
      </c>
      <c r="D44" s="12" t="str">
        <f t="shared" ref="D44:W44" si="3">D7</f>
        <v/>
      </c>
      <c r="E44" s="12" t="str">
        <f t="shared" si="3"/>
        <v/>
      </c>
      <c r="F44" s="39" t="str">
        <f t="shared" si="3"/>
        <v/>
      </c>
      <c r="G44" s="12" t="str">
        <f t="shared" si="3"/>
        <v/>
      </c>
      <c r="H44" s="12" t="str">
        <f t="shared" si="3"/>
        <v/>
      </c>
      <c r="I44" s="12" t="str">
        <f t="shared" si="3"/>
        <v/>
      </c>
      <c r="J44" s="39" t="str">
        <f t="shared" si="3"/>
        <v/>
      </c>
      <c r="K44" s="12" t="str">
        <f t="shared" si="3"/>
        <v/>
      </c>
      <c r="L44" s="12" t="str">
        <f t="shared" si="3"/>
        <v/>
      </c>
      <c r="M44" s="12" t="str">
        <f t="shared" si="3"/>
        <v/>
      </c>
      <c r="N44" s="39" t="str">
        <f t="shared" si="3"/>
        <v/>
      </c>
      <c r="O44" s="12" t="str">
        <f t="shared" si="3"/>
        <v/>
      </c>
      <c r="P44" s="12" t="str">
        <f t="shared" si="3"/>
        <v/>
      </c>
      <c r="Q44" s="12" t="str">
        <f t="shared" si="3"/>
        <v/>
      </c>
      <c r="R44" s="39" t="str">
        <f t="shared" si="3"/>
        <v/>
      </c>
      <c r="S44" s="12" t="str">
        <f t="shared" si="3"/>
        <v/>
      </c>
      <c r="T44" s="12" t="str">
        <f t="shared" si="3"/>
        <v/>
      </c>
      <c r="U44" s="12" t="str">
        <f t="shared" si="3"/>
        <v/>
      </c>
      <c r="V44" s="39" t="str">
        <f t="shared" si="3"/>
        <v/>
      </c>
      <c r="W44" s="24" t="str">
        <f t="shared" si="3"/>
        <v/>
      </c>
    </row>
    <row r="45" spans="1:23" ht="18" x14ac:dyDescent="0.25">
      <c r="A45" s="28">
        <v>4</v>
      </c>
      <c r="B45" s="43" t="str">
        <f t="shared" si="2"/>
        <v>Bobgre93</v>
      </c>
      <c r="C45" s="12" t="str">
        <f t="shared" si="2"/>
        <v/>
      </c>
      <c r="D45" s="12" t="str">
        <f t="shared" ref="D45:W45" si="4">D8</f>
        <v/>
      </c>
      <c r="E45" s="12" t="str">
        <f t="shared" si="4"/>
        <v/>
      </c>
      <c r="F45" s="39" t="str">
        <f t="shared" si="4"/>
        <v/>
      </c>
      <c r="G45" s="12" t="str">
        <f t="shared" si="4"/>
        <v/>
      </c>
      <c r="H45" s="12" t="str">
        <f t="shared" si="4"/>
        <v/>
      </c>
      <c r="I45" s="12" t="str">
        <f t="shared" si="4"/>
        <v/>
      </c>
      <c r="J45" s="39" t="str">
        <f t="shared" si="4"/>
        <v/>
      </c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39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39" t="str">
        <f t="shared" si="4"/>
        <v/>
      </c>
      <c r="S45" s="12" t="str">
        <f t="shared" si="4"/>
        <v/>
      </c>
      <c r="T45" s="12" t="str">
        <f t="shared" si="4"/>
        <v/>
      </c>
      <c r="U45" s="12" t="str">
        <f t="shared" si="4"/>
        <v/>
      </c>
      <c r="V45" s="39" t="str">
        <f t="shared" si="4"/>
        <v/>
      </c>
      <c r="W45" s="24" t="str">
        <f t="shared" si="4"/>
        <v/>
      </c>
    </row>
    <row r="46" spans="1:23" ht="18" x14ac:dyDescent="0.25">
      <c r="A46" s="28">
        <v>5</v>
      </c>
      <c r="B46" s="43" t="str">
        <f t="shared" si="2"/>
        <v>xRUA85x</v>
      </c>
      <c r="C46" s="12" t="str">
        <f t="shared" si="2"/>
        <v/>
      </c>
      <c r="D46" s="12" t="str">
        <f t="shared" ref="D46:W46" si="5">D9</f>
        <v/>
      </c>
      <c r="E46" s="12" t="str">
        <f t="shared" si="5"/>
        <v/>
      </c>
      <c r="F46" s="39" t="str">
        <f t="shared" si="5"/>
        <v/>
      </c>
      <c r="G46" s="12" t="str">
        <f t="shared" si="5"/>
        <v/>
      </c>
      <c r="H46" s="12" t="str">
        <f t="shared" si="5"/>
        <v/>
      </c>
      <c r="I46" s="12" t="str">
        <f t="shared" si="5"/>
        <v/>
      </c>
      <c r="J46" s="39" t="str">
        <f t="shared" si="5"/>
        <v/>
      </c>
      <c r="K46" s="12" t="str">
        <f t="shared" si="5"/>
        <v/>
      </c>
      <c r="L46" s="12" t="str">
        <f t="shared" si="5"/>
        <v/>
      </c>
      <c r="M46" s="12" t="str">
        <f t="shared" si="5"/>
        <v/>
      </c>
      <c r="N46" s="39" t="str">
        <f t="shared" si="5"/>
        <v/>
      </c>
      <c r="O46" s="12" t="str">
        <f t="shared" si="5"/>
        <v/>
      </c>
      <c r="P46" s="12" t="str">
        <f t="shared" si="5"/>
        <v/>
      </c>
      <c r="Q46" s="12" t="str">
        <f t="shared" si="5"/>
        <v/>
      </c>
      <c r="R46" s="39" t="str">
        <f t="shared" si="5"/>
        <v/>
      </c>
      <c r="S46" s="12" t="str">
        <f t="shared" si="5"/>
        <v/>
      </c>
      <c r="T46" s="12" t="str">
        <f t="shared" si="5"/>
        <v/>
      </c>
      <c r="U46" s="12" t="str">
        <f t="shared" si="5"/>
        <v/>
      </c>
      <c r="V46" s="39" t="str">
        <f t="shared" si="5"/>
        <v/>
      </c>
      <c r="W46" s="24" t="str">
        <f t="shared" si="5"/>
        <v/>
      </c>
    </row>
    <row r="47" spans="1:23" ht="18" x14ac:dyDescent="0.25">
      <c r="A47" s="28">
        <v>6</v>
      </c>
      <c r="B47" s="43" t="str">
        <f t="shared" si="2"/>
        <v>TheGuarny</v>
      </c>
      <c r="C47" s="12" t="str">
        <f t="shared" si="2"/>
        <v/>
      </c>
      <c r="D47" s="12" t="str">
        <f t="shared" ref="D47:W47" si="6">D10</f>
        <v/>
      </c>
      <c r="E47" s="12" t="str">
        <f t="shared" si="6"/>
        <v/>
      </c>
      <c r="F47" s="39" t="str">
        <f t="shared" si="6"/>
        <v/>
      </c>
      <c r="G47" s="12" t="str">
        <f t="shared" si="6"/>
        <v/>
      </c>
      <c r="H47" s="12" t="str">
        <f t="shared" si="6"/>
        <v/>
      </c>
      <c r="I47" s="12" t="str">
        <f t="shared" si="6"/>
        <v/>
      </c>
      <c r="J47" s="39" t="str">
        <f t="shared" si="6"/>
        <v/>
      </c>
      <c r="K47" s="12" t="str">
        <f t="shared" si="6"/>
        <v/>
      </c>
      <c r="L47" s="12" t="str">
        <f t="shared" si="6"/>
        <v/>
      </c>
      <c r="M47" s="12" t="str">
        <f t="shared" si="6"/>
        <v/>
      </c>
      <c r="N47" s="39" t="str">
        <f t="shared" si="6"/>
        <v/>
      </c>
      <c r="O47" s="12" t="str">
        <f t="shared" si="6"/>
        <v/>
      </c>
      <c r="P47" s="12" t="str">
        <f t="shared" si="6"/>
        <v/>
      </c>
      <c r="Q47" s="12" t="str">
        <f t="shared" si="6"/>
        <v/>
      </c>
      <c r="R47" s="39" t="str">
        <f t="shared" si="6"/>
        <v/>
      </c>
      <c r="S47" s="12" t="str">
        <f t="shared" si="6"/>
        <v/>
      </c>
      <c r="T47" s="12" t="str">
        <f t="shared" si="6"/>
        <v/>
      </c>
      <c r="U47" s="12" t="str">
        <f t="shared" si="6"/>
        <v/>
      </c>
      <c r="V47" s="39" t="str">
        <f t="shared" si="6"/>
        <v/>
      </c>
      <c r="W47" s="24" t="str">
        <f t="shared" si="6"/>
        <v/>
      </c>
    </row>
    <row r="48" spans="1:23" ht="18" x14ac:dyDescent="0.25">
      <c r="A48" s="28">
        <v>7</v>
      </c>
      <c r="B48" s="43" t="str">
        <f t="shared" si="2"/>
        <v>Patanel86</v>
      </c>
      <c r="C48" s="12" t="str">
        <f t="shared" si="2"/>
        <v/>
      </c>
      <c r="D48" s="12" t="str">
        <f t="shared" ref="D48:W48" si="7">D11</f>
        <v/>
      </c>
      <c r="E48" s="12" t="str">
        <f t="shared" si="7"/>
        <v/>
      </c>
      <c r="F48" s="39" t="str">
        <f t="shared" si="7"/>
        <v/>
      </c>
      <c r="G48" s="12" t="str">
        <f t="shared" si="7"/>
        <v/>
      </c>
      <c r="H48" s="12" t="str">
        <f t="shared" si="7"/>
        <v/>
      </c>
      <c r="I48" s="12" t="str">
        <f t="shared" si="7"/>
        <v/>
      </c>
      <c r="J48" s="39" t="str">
        <f t="shared" si="7"/>
        <v/>
      </c>
      <c r="K48" s="12" t="str">
        <f t="shared" si="7"/>
        <v/>
      </c>
      <c r="L48" s="12" t="str">
        <f t="shared" si="7"/>
        <v/>
      </c>
      <c r="M48" s="12" t="str">
        <f t="shared" si="7"/>
        <v/>
      </c>
      <c r="N48" s="39" t="str">
        <f t="shared" si="7"/>
        <v/>
      </c>
      <c r="O48" s="12" t="str">
        <f t="shared" si="7"/>
        <v/>
      </c>
      <c r="P48" s="12" t="str">
        <f t="shared" si="7"/>
        <v/>
      </c>
      <c r="Q48" s="12" t="str">
        <f t="shared" si="7"/>
        <v/>
      </c>
      <c r="R48" s="39" t="str">
        <f t="shared" si="7"/>
        <v/>
      </c>
      <c r="S48" s="12" t="str">
        <f t="shared" si="7"/>
        <v/>
      </c>
      <c r="T48" s="12" t="str">
        <f t="shared" si="7"/>
        <v/>
      </c>
      <c r="U48" s="12" t="str">
        <f t="shared" si="7"/>
        <v/>
      </c>
      <c r="V48" s="39" t="str">
        <f t="shared" si="7"/>
        <v/>
      </c>
      <c r="W48" s="24" t="str">
        <f t="shared" si="7"/>
        <v/>
      </c>
    </row>
    <row r="49" spans="1:23" ht="18" x14ac:dyDescent="0.25">
      <c r="A49" s="28">
        <v>8</v>
      </c>
      <c r="B49" s="43" t="str">
        <f t="shared" si="2"/>
        <v>TLM_Kappa</v>
      </c>
      <c r="C49" s="12" t="str">
        <f t="shared" si="2"/>
        <v/>
      </c>
      <c r="D49" s="12" t="str">
        <f t="shared" ref="D49:W49" si="8">D12</f>
        <v/>
      </c>
      <c r="E49" s="12" t="str">
        <f t="shared" si="8"/>
        <v/>
      </c>
      <c r="F49" s="39" t="str">
        <f t="shared" si="8"/>
        <v/>
      </c>
      <c r="G49" s="12" t="str">
        <f t="shared" si="8"/>
        <v/>
      </c>
      <c r="H49" s="12" t="str">
        <f t="shared" si="8"/>
        <v/>
      </c>
      <c r="I49" s="12" t="str">
        <f t="shared" si="8"/>
        <v/>
      </c>
      <c r="J49" s="39" t="str">
        <f t="shared" si="8"/>
        <v/>
      </c>
      <c r="K49" s="12" t="str">
        <f t="shared" si="8"/>
        <v/>
      </c>
      <c r="L49" s="12" t="str">
        <f t="shared" si="8"/>
        <v/>
      </c>
      <c r="M49" s="12" t="str">
        <f t="shared" si="8"/>
        <v/>
      </c>
      <c r="N49" s="39" t="str">
        <f t="shared" si="8"/>
        <v/>
      </c>
      <c r="O49" s="12" t="str">
        <f t="shared" si="8"/>
        <v/>
      </c>
      <c r="P49" s="12" t="str">
        <f t="shared" si="8"/>
        <v/>
      </c>
      <c r="Q49" s="12" t="str">
        <f t="shared" si="8"/>
        <v/>
      </c>
      <c r="R49" s="39" t="str">
        <f t="shared" si="8"/>
        <v/>
      </c>
      <c r="S49" s="12" t="str">
        <f t="shared" si="8"/>
        <v/>
      </c>
      <c r="T49" s="12" t="str">
        <f t="shared" si="8"/>
        <v/>
      </c>
      <c r="U49" s="12" t="str">
        <f t="shared" si="8"/>
        <v/>
      </c>
      <c r="V49" s="39" t="str">
        <f t="shared" si="8"/>
        <v/>
      </c>
      <c r="W49" s="24" t="str">
        <f t="shared" si="8"/>
        <v/>
      </c>
    </row>
    <row r="50" spans="1:23" ht="18" x14ac:dyDescent="0.25">
      <c r="A50" s="28">
        <v>9</v>
      </c>
      <c r="B50" s="43" t="str">
        <f t="shared" si="2"/>
        <v>Verce90</v>
      </c>
      <c r="C50" s="12" t="str">
        <f t="shared" si="2"/>
        <v/>
      </c>
      <c r="D50" s="12" t="str">
        <f t="shared" ref="D50:W50" si="9">D13</f>
        <v/>
      </c>
      <c r="E50" s="12" t="str">
        <f t="shared" si="9"/>
        <v/>
      </c>
      <c r="F50" s="39" t="str">
        <f t="shared" si="9"/>
        <v/>
      </c>
      <c r="G50" s="12" t="str">
        <f t="shared" si="9"/>
        <v/>
      </c>
      <c r="H50" s="12" t="str">
        <f t="shared" si="9"/>
        <v/>
      </c>
      <c r="I50" s="12" t="str">
        <f t="shared" si="9"/>
        <v/>
      </c>
      <c r="J50" s="39" t="str">
        <f t="shared" si="9"/>
        <v/>
      </c>
      <c r="K50" s="12" t="str">
        <f t="shared" si="9"/>
        <v/>
      </c>
      <c r="L50" s="12" t="str">
        <f t="shared" si="9"/>
        <v/>
      </c>
      <c r="M50" s="12" t="str">
        <f t="shared" si="9"/>
        <v/>
      </c>
      <c r="N50" s="39" t="str">
        <f t="shared" si="9"/>
        <v/>
      </c>
      <c r="O50" s="12" t="str">
        <f t="shared" si="9"/>
        <v/>
      </c>
      <c r="P50" s="12" t="str">
        <f t="shared" si="9"/>
        <v/>
      </c>
      <c r="Q50" s="12" t="str">
        <f t="shared" si="9"/>
        <v/>
      </c>
      <c r="R50" s="39" t="str">
        <f t="shared" si="9"/>
        <v/>
      </c>
      <c r="S50" s="12" t="str">
        <f t="shared" si="9"/>
        <v/>
      </c>
      <c r="T50" s="12" t="str">
        <f t="shared" si="9"/>
        <v/>
      </c>
      <c r="U50" s="12" t="str">
        <f t="shared" si="9"/>
        <v/>
      </c>
      <c r="V50" s="39" t="str">
        <f t="shared" si="9"/>
        <v/>
      </c>
      <c r="W50" s="24" t="str">
        <f t="shared" si="9"/>
        <v/>
      </c>
    </row>
    <row r="51" spans="1:23" ht="18" x14ac:dyDescent="0.25">
      <c r="A51" s="28">
        <v>10</v>
      </c>
      <c r="B51" s="43" t="str">
        <f t="shared" si="2"/>
        <v>selpa974</v>
      </c>
      <c r="C51" s="12" t="str">
        <f t="shared" si="2"/>
        <v/>
      </c>
      <c r="D51" s="12" t="str">
        <f t="shared" ref="D51:W51" si="10">D14</f>
        <v/>
      </c>
      <c r="E51" s="12" t="str">
        <f t="shared" si="10"/>
        <v/>
      </c>
      <c r="F51" s="39" t="str">
        <f t="shared" si="10"/>
        <v/>
      </c>
      <c r="G51" s="12" t="str">
        <f t="shared" si="10"/>
        <v/>
      </c>
      <c r="H51" s="12" t="str">
        <f t="shared" si="10"/>
        <v/>
      </c>
      <c r="I51" s="12" t="str">
        <f t="shared" si="10"/>
        <v/>
      </c>
      <c r="J51" s="39" t="str">
        <f t="shared" si="10"/>
        <v/>
      </c>
      <c r="K51" s="12" t="str">
        <f t="shared" si="10"/>
        <v/>
      </c>
      <c r="L51" s="12" t="str">
        <f t="shared" si="10"/>
        <v/>
      </c>
      <c r="M51" s="12" t="str">
        <f t="shared" si="10"/>
        <v/>
      </c>
      <c r="N51" s="39" t="str">
        <f t="shared" si="10"/>
        <v/>
      </c>
      <c r="O51" s="12" t="str">
        <f t="shared" si="10"/>
        <v/>
      </c>
      <c r="P51" s="12" t="str">
        <f t="shared" si="10"/>
        <v/>
      </c>
      <c r="Q51" s="12" t="str">
        <f t="shared" si="10"/>
        <v/>
      </c>
      <c r="R51" s="39" t="str">
        <f t="shared" si="10"/>
        <v/>
      </c>
      <c r="S51" s="12" t="str">
        <f t="shared" si="10"/>
        <v/>
      </c>
      <c r="T51" s="12" t="str">
        <f t="shared" si="10"/>
        <v/>
      </c>
      <c r="U51" s="12" t="str">
        <f t="shared" si="10"/>
        <v/>
      </c>
      <c r="V51" s="39" t="str">
        <f t="shared" si="10"/>
        <v/>
      </c>
      <c r="W51" s="24" t="str">
        <f t="shared" si="10"/>
        <v/>
      </c>
    </row>
    <row r="52" spans="1:23" ht="18" x14ac:dyDescent="0.25">
      <c r="A52" s="28">
        <v>11</v>
      </c>
      <c r="B52" s="43" t="str">
        <f t="shared" si="2"/>
        <v>TLM_SKIZZO 34</v>
      </c>
      <c r="C52" s="12" t="str">
        <f t="shared" si="2"/>
        <v/>
      </c>
      <c r="D52" s="12" t="str">
        <f t="shared" ref="D52:W52" si="11">D15</f>
        <v/>
      </c>
      <c r="E52" s="12" t="str">
        <f t="shared" si="11"/>
        <v/>
      </c>
      <c r="F52" s="39" t="str">
        <f t="shared" si="11"/>
        <v/>
      </c>
      <c r="G52" s="12" t="str">
        <f t="shared" si="11"/>
        <v/>
      </c>
      <c r="H52" s="12" t="str">
        <f t="shared" si="11"/>
        <v/>
      </c>
      <c r="I52" s="12" t="str">
        <f t="shared" si="11"/>
        <v/>
      </c>
      <c r="J52" s="39" t="str">
        <f t="shared" si="11"/>
        <v/>
      </c>
      <c r="K52" s="12" t="str">
        <f t="shared" si="11"/>
        <v/>
      </c>
      <c r="L52" s="12" t="str">
        <f t="shared" si="11"/>
        <v/>
      </c>
      <c r="M52" s="12" t="str">
        <f t="shared" si="11"/>
        <v/>
      </c>
      <c r="N52" s="39" t="str">
        <f t="shared" si="11"/>
        <v/>
      </c>
      <c r="O52" s="12" t="str">
        <f t="shared" si="11"/>
        <v/>
      </c>
      <c r="P52" s="12" t="str">
        <f t="shared" si="11"/>
        <v/>
      </c>
      <c r="Q52" s="12" t="str">
        <f t="shared" si="11"/>
        <v/>
      </c>
      <c r="R52" s="39" t="str">
        <f t="shared" si="11"/>
        <v/>
      </c>
      <c r="S52" s="12" t="str">
        <f t="shared" si="11"/>
        <v/>
      </c>
      <c r="T52" s="12" t="str">
        <f t="shared" si="11"/>
        <v/>
      </c>
      <c r="U52" s="12" t="str">
        <f t="shared" si="11"/>
        <v/>
      </c>
      <c r="V52" s="39" t="str">
        <f t="shared" si="11"/>
        <v/>
      </c>
      <c r="W52" s="24" t="str">
        <f t="shared" si="11"/>
        <v/>
      </c>
    </row>
    <row r="53" spans="1:23" ht="18" x14ac:dyDescent="0.25">
      <c r="A53" s="28">
        <v>12</v>
      </c>
      <c r="B53" s="43" t="str">
        <f t="shared" si="2"/>
        <v>Silentium884</v>
      </c>
      <c r="C53" s="12" t="str">
        <f t="shared" si="2"/>
        <v/>
      </c>
      <c r="D53" s="12" t="str">
        <f t="shared" ref="D53:W53" si="12">D16</f>
        <v/>
      </c>
      <c r="E53" s="12" t="str">
        <f t="shared" si="12"/>
        <v/>
      </c>
      <c r="F53" s="39" t="str">
        <f t="shared" si="12"/>
        <v/>
      </c>
      <c r="G53" s="12" t="str">
        <f t="shared" si="12"/>
        <v/>
      </c>
      <c r="H53" s="12" t="str">
        <f t="shared" si="12"/>
        <v/>
      </c>
      <c r="I53" s="12" t="str">
        <f t="shared" si="12"/>
        <v/>
      </c>
      <c r="J53" s="39" t="str">
        <f t="shared" si="12"/>
        <v/>
      </c>
      <c r="K53" s="12" t="str">
        <f t="shared" si="12"/>
        <v/>
      </c>
      <c r="L53" s="12" t="str">
        <f t="shared" si="12"/>
        <v/>
      </c>
      <c r="M53" s="12" t="str">
        <f t="shared" si="12"/>
        <v/>
      </c>
      <c r="N53" s="39" t="str">
        <f t="shared" si="12"/>
        <v/>
      </c>
      <c r="O53" s="12" t="str">
        <f t="shared" si="12"/>
        <v/>
      </c>
      <c r="P53" s="12" t="str">
        <f t="shared" si="12"/>
        <v/>
      </c>
      <c r="Q53" s="12" t="str">
        <f t="shared" si="12"/>
        <v/>
      </c>
      <c r="R53" s="39" t="str">
        <f t="shared" si="12"/>
        <v/>
      </c>
      <c r="S53" s="12" t="str">
        <f t="shared" si="12"/>
        <v/>
      </c>
      <c r="T53" s="12" t="str">
        <f t="shared" si="12"/>
        <v/>
      </c>
      <c r="U53" s="12" t="str">
        <f t="shared" si="12"/>
        <v/>
      </c>
      <c r="V53" s="39" t="str">
        <f t="shared" si="12"/>
        <v/>
      </c>
      <c r="W53" s="24" t="str">
        <f t="shared" si="12"/>
        <v/>
      </c>
    </row>
    <row r="54" spans="1:23" ht="18" x14ac:dyDescent="0.25">
      <c r="A54" s="28">
        <v>13</v>
      </c>
      <c r="B54" s="43" t="str">
        <f t="shared" si="2"/>
        <v>Ulix1990</v>
      </c>
      <c r="C54" s="12" t="str">
        <f t="shared" si="2"/>
        <v/>
      </c>
      <c r="D54" s="12" t="str">
        <f t="shared" ref="D54:W54" si="13">D17</f>
        <v/>
      </c>
      <c r="E54" s="12" t="str">
        <f t="shared" si="13"/>
        <v/>
      </c>
      <c r="F54" s="39" t="str">
        <f t="shared" si="13"/>
        <v/>
      </c>
      <c r="G54" s="12" t="str">
        <f t="shared" si="13"/>
        <v/>
      </c>
      <c r="H54" s="12" t="str">
        <f t="shared" si="13"/>
        <v/>
      </c>
      <c r="I54" s="12" t="str">
        <f t="shared" si="13"/>
        <v/>
      </c>
      <c r="J54" s="39" t="str">
        <f t="shared" si="13"/>
        <v/>
      </c>
      <c r="K54" s="12" t="str">
        <f t="shared" si="13"/>
        <v/>
      </c>
      <c r="L54" s="12" t="str">
        <f t="shared" si="13"/>
        <v/>
      </c>
      <c r="M54" s="12" t="str">
        <f t="shared" si="13"/>
        <v/>
      </c>
      <c r="N54" s="39" t="str">
        <f t="shared" si="13"/>
        <v/>
      </c>
      <c r="O54" s="12" t="str">
        <f t="shared" si="13"/>
        <v/>
      </c>
      <c r="P54" s="12" t="str">
        <f t="shared" si="13"/>
        <v/>
      </c>
      <c r="Q54" s="12" t="str">
        <f t="shared" si="13"/>
        <v/>
      </c>
      <c r="R54" s="39" t="str">
        <f t="shared" si="13"/>
        <v/>
      </c>
      <c r="S54" s="12" t="str">
        <f t="shared" si="13"/>
        <v/>
      </c>
      <c r="T54" s="12" t="str">
        <f t="shared" si="13"/>
        <v/>
      </c>
      <c r="U54" s="12" t="str">
        <f t="shared" si="13"/>
        <v/>
      </c>
      <c r="V54" s="39" t="str">
        <f t="shared" si="13"/>
        <v/>
      </c>
      <c r="W54" s="24" t="str">
        <f t="shared" si="13"/>
        <v/>
      </c>
    </row>
    <row r="55" spans="1:23" ht="18" x14ac:dyDescent="0.25">
      <c r="A55" s="28">
        <v>14</v>
      </c>
      <c r="B55" s="43" t="str">
        <f t="shared" si="2"/>
        <v>Isnotacrime</v>
      </c>
      <c r="C55" s="12" t="str">
        <f t="shared" si="2"/>
        <v/>
      </c>
      <c r="D55" s="12" t="str">
        <f t="shared" ref="D55:W55" si="14">D18</f>
        <v/>
      </c>
      <c r="E55" s="12" t="str">
        <f t="shared" si="14"/>
        <v/>
      </c>
      <c r="F55" s="39" t="str">
        <f t="shared" si="14"/>
        <v/>
      </c>
      <c r="G55" s="12" t="str">
        <f t="shared" si="14"/>
        <v/>
      </c>
      <c r="H55" s="12" t="str">
        <f t="shared" si="14"/>
        <v/>
      </c>
      <c r="I55" s="12" t="str">
        <f t="shared" si="14"/>
        <v/>
      </c>
      <c r="J55" s="39" t="str">
        <f t="shared" si="14"/>
        <v/>
      </c>
      <c r="K55" s="12" t="str">
        <f t="shared" si="14"/>
        <v/>
      </c>
      <c r="L55" s="12" t="str">
        <f t="shared" si="14"/>
        <v/>
      </c>
      <c r="M55" s="12" t="str">
        <f t="shared" si="14"/>
        <v/>
      </c>
      <c r="N55" s="39" t="str">
        <f t="shared" si="14"/>
        <v/>
      </c>
      <c r="O55" s="12" t="str">
        <f t="shared" si="14"/>
        <v/>
      </c>
      <c r="P55" s="12" t="str">
        <f t="shared" si="14"/>
        <v/>
      </c>
      <c r="Q55" s="12" t="str">
        <f t="shared" si="14"/>
        <v/>
      </c>
      <c r="R55" s="39" t="str">
        <f t="shared" si="14"/>
        <v/>
      </c>
      <c r="S55" s="12" t="str">
        <f t="shared" si="14"/>
        <v/>
      </c>
      <c r="T55" s="12" t="str">
        <f t="shared" si="14"/>
        <v/>
      </c>
      <c r="U55" s="12" t="str">
        <f t="shared" si="14"/>
        <v/>
      </c>
      <c r="V55" s="39" t="str">
        <f t="shared" si="14"/>
        <v/>
      </c>
      <c r="W55" s="24" t="str">
        <f t="shared" si="14"/>
        <v/>
      </c>
    </row>
    <row r="56" spans="1:23" ht="18" x14ac:dyDescent="0.25">
      <c r="A56" s="28">
        <v>15</v>
      </c>
      <c r="B56" s="43" t="str">
        <f t="shared" si="2"/>
        <v>Asseemazz</v>
      </c>
      <c r="C56" s="12" t="str">
        <f t="shared" si="2"/>
        <v/>
      </c>
      <c r="D56" s="12" t="str">
        <f t="shared" ref="D56:W56" si="15">D19</f>
        <v/>
      </c>
      <c r="E56" s="12" t="str">
        <f t="shared" si="15"/>
        <v/>
      </c>
      <c r="F56" s="39" t="str">
        <f t="shared" si="15"/>
        <v/>
      </c>
      <c r="G56" s="12" t="str">
        <f t="shared" si="15"/>
        <v/>
      </c>
      <c r="H56" s="12" t="str">
        <f t="shared" si="15"/>
        <v/>
      </c>
      <c r="I56" s="12" t="str">
        <f t="shared" si="15"/>
        <v/>
      </c>
      <c r="J56" s="39" t="str">
        <f t="shared" si="15"/>
        <v/>
      </c>
      <c r="K56" s="12" t="str">
        <f t="shared" si="15"/>
        <v/>
      </c>
      <c r="L56" s="12" t="str">
        <f t="shared" si="15"/>
        <v/>
      </c>
      <c r="M56" s="12" t="str">
        <f t="shared" si="15"/>
        <v/>
      </c>
      <c r="N56" s="39" t="str">
        <f t="shared" si="15"/>
        <v/>
      </c>
      <c r="O56" s="12" t="str">
        <f t="shared" si="15"/>
        <v/>
      </c>
      <c r="P56" s="12" t="str">
        <f t="shared" si="15"/>
        <v/>
      </c>
      <c r="Q56" s="12" t="str">
        <f t="shared" si="15"/>
        <v/>
      </c>
      <c r="R56" s="39" t="str">
        <f t="shared" si="15"/>
        <v/>
      </c>
      <c r="S56" s="12" t="str">
        <f t="shared" si="15"/>
        <v/>
      </c>
      <c r="T56" s="12" t="str">
        <f t="shared" si="15"/>
        <v/>
      </c>
      <c r="U56" s="12" t="str">
        <f t="shared" si="15"/>
        <v/>
      </c>
      <c r="V56" s="39" t="str">
        <f t="shared" si="15"/>
        <v/>
      </c>
      <c r="W56" s="24" t="str">
        <f t="shared" si="15"/>
        <v/>
      </c>
    </row>
    <row r="57" spans="1:23" ht="18" x14ac:dyDescent="0.25">
      <c r="A57" s="28">
        <v>16</v>
      </c>
      <c r="B57" s="43" t="str">
        <f>B20</f>
        <v>Liotru1979</v>
      </c>
      <c r="C57" s="12" t="str">
        <f t="shared" si="2"/>
        <v/>
      </c>
      <c r="D57" s="12" t="str">
        <f t="shared" ref="D57:W57" si="16">D20</f>
        <v/>
      </c>
      <c r="E57" s="12" t="str">
        <f t="shared" si="16"/>
        <v/>
      </c>
      <c r="F57" s="39" t="str">
        <f t="shared" si="16"/>
        <v/>
      </c>
      <c r="G57" s="12" t="str">
        <f t="shared" si="16"/>
        <v/>
      </c>
      <c r="H57" s="12" t="str">
        <f t="shared" si="16"/>
        <v/>
      </c>
      <c r="I57" s="12" t="str">
        <f t="shared" si="16"/>
        <v/>
      </c>
      <c r="J57" s="39" t="str">
        <f t="shared" si="16"/>
        <v/>
      </c>
      <c r="K57" s="12" t="str">
        <f t="shared" si="16"/>
        <v/>
      </c>
      <c r="L57" s="12" t="str">
        <f t="shared" si="16"/>
        <v/>
      </c>
      <c r="M57" s="12" t="str">
        <f t="shared" si="16"/>
        <v/>
      </c>
      <c r="N57" s="39" t="str">
        <f t="shared" si="16"/>
        <v/>
      </c>
      <c r="O57" s="12" t="str">
        <f t="shared" si="16"/>
        <v/>
      </c>
      <c r="P57" s="12" t="str">
        <f t="shared" si="16"/>
        <v/>
      </c>
      <c r="Q57" s="12" t="str">
        <f t="shared" si="16"/>
        <v/>
      </c>
      <c r="R57" s="39" t="str">
        <f t="shared" si="16"/>
        <v/>
      </c>
      <c r="S57" s="12" t="str">
        <f t="shared" si="16"/>
        <v/>
      </c>
      <c r="T57" s="12" t="str">
        <f t="shared" si="16"/>
        <v/>
      </c>
      <c r="U57" s="12" t="str">
        <f t="shared" si="16"/>
        <v/>
      </c>
      <c r="V57" s="39" t="str">
        <f t="shared" si="16"/>
        <v/>
      </c>
      <c r="W57" s="24" t="str">
        <f t="shared" si="16"/>
        <v/>
      </c>
    </row>
    <row r="58" spans="1:23" ht="18" x14ac:dyDescent="0.25">
      <c r="A58" s="28">
        <v>17</v>
      </c>
      <c r="B58" s="43" t="str">
        <f>B22</f>
        <v>Chry-77</v>
      </c>
      <c r="C58" s="12" t="str">
        <f>C22</f>
        <v/>
      </c>
      <c r="D58" s="12" t="str">
        <f t="shared" ref="D58:W58" si="17">D22</f>
        <v/>
      </c>
      <c r="E58" s="12" t="str">
        <f t="shared" si="17"/>
        <v/>
      </c>
      <c r="F58" s="39" t="str">
        <f t="shared" si="17"/>
        <v/>
      </c>
      <c r="G58" s="12" t="str">
        <f t="shared" si="17"/>
        <v/>
      </c>
      <c r="H58" s="12" t="str">
        <f t="shared" si="17"/>
        <v/>
      </c>
      <c r="I58" s="12" t="str">
        <f t="shared" si="17"/>
        <v/>
      </c>
      <c r="J58" s="39" t="str">
        <f t="shared" si="17"/>
        <v/>
      </c>
      <c r="K58" s="12" t="str">
        <f t="shared" si="17"/>
        <v/>
      </c>
      <c r="L58" s="12" t="str">
        <f t="shared" si="17"/>
        <v/>
      </c>
      <c r="M58" s="12" t="str">
        <f t="shared" si="17"/>
        <v/>
      </c>
      <c r="N58" s="39" t="str">
        <f t="shared" si="17"/>
        <v/>
      </c>
      <c r="O58" s="12" t="str">
        <f t="shared" si="17"/>
        <v/>
      </c>
      <c r="P58" s="12" t="str">
        <f t="shared" si="17"/>
        <v/>
      </c>
      <c r="Q58" s="12" t="str">
        <f t="shared" si="17"/>
        <v/>
      </c>
      <c r="R58" s="39" t="str">
        <f t="shared" si="17"/>
        <v/>
      </c>
      <c r="S58" s="12" t="str">
        <f t="shared" si="17"/>
        <v/>
      </c>
      <c r="T58" s="12" t="str">
        <f t="shared" si="17"/>
        <v/>
      </c>
      <c r="U58" s="12" t="str">
        <f t="shared" si="17"/>
        <v/>
      </c>
      <c r="V58" s="39" t="str">
        <f t="shared" si="17"/>
        <v/>
      </c>
      <c r="W58" s="24" t="str">
        <f t="shared" si="17"/>
        <v/>
      </c>
    </row>
    <row r="59" spans="1:23" ht="18" x14ac:dyDescent="0.25">
      <c r="A59" s="28">
        <v>18</v>
      </c>
      <c r="B59" s="43" t="str">
        <f t="shared" ref="B59:C73" si="18">B23</f>
        <v>mark126p</v>
      </c>
      <c r="C59" s="12" t="str">
        <f t="shared" si="18"/>
        <v/>
      </c>
      <c r="D59" s="12" t="str">
        <f t="shared" ref="D59:W59" si="19">D23</f>
        <v/>
      </c>
      <c r="E59" s="12" t="str">
        <f t="shared" si="19"/>
        <v/>
      </c>
      <c r="F59" s="39" t="str">
        <f t="shared" si="19"/>
        <v/>
      </c>
      <c r="G59" s="12" t="str">
        <f t="shared" si="19"/>
        <v/>
      </c>
      <c r="H59" s="12" t="str">
        <f t="shared" si="19"/>
        <v/>
      </c>
      <c r="I59" s="12" t="str">
        <f t="shared" si="19"/>
        <v/>
      </c>
      <c r="J59" s="39" t="str">
        <f t="shared" si="19"/>
        <v/>
      </c>
      <c r="K59" s="12" t="str">
        <f t="shared" si="19"/>
        <v/>
      </c>
      <c r="L59" s="12" t="str">
        <f t="shared" si="19"/>
        <v/>
      </c>
      <c r="M59" s="12" t="str">
        <f t="shared" si="19"/>
        <v/>
      </c>
      <c r="N59" s="39" t="str">
        <f t="shared" si="19"/>
        <v/>
      </c>
      <c r="O59" s="12" t="str">
        <f t="shared" si="19"/>
        <v/>
      </c>
      <c r="P59" s="12" t="str">
        <f t="shared" si="19"/>
        <v/>
      </c>
      <c r="Q59" s="12" t="str">
        <f t="shared" si="19"/>
        <v/>
      </c>
      <c r="R59" s="39" t="str">
        <f t="shared" si="19"/>
        <v/>
      </c>
      <c r="S59" s="12" t="str">
        <f t="shared" si="19"/>
        <v/>
      </c>
      <c r="T59" s="12" t="str">
        <f t="shared" si="19"/>
        <v/>
      </c>
      <c r="U59" s="12" t="str">
        <f t="shared" si="19"/>
        <v/>
      </c>
      <c r="V59" s="39" t="str">
        <f t="shared" si="19"/>
        <v/>
      </c>
      <c r="W59" s="24" t="str">
        <f t="shared" si="19"/>
        <v/>
      </c>
    </row>
    <row r="60" spans="1:23" ht="18" x14ac:dyDescent="0.25">
      <c r="A60" s="28">
        <v>19</v>
      </c>
      <c r="B60" s="43" t="str">
        <f t="shared" si="18"/>
        <v>Parenji</v>
      </c>
      <c r="C60" s="12" t="str">
        <f t="shared" si="18"/>
        <v/>
      </c>
      <c r="D60" s="12" t="str">
        <f t="shared" ref="D60:W60" si="20">D24</f>
        <v/>
      </c>
      <c r="E60" s="12" t="str">
        <f t="shared" si="20"/>
        <v/>
      </c>
      <c r="F60" s="39" t="str">
        <f t="shared" si="20"/>
        <v/>
      </c>
      <c r="G60" s="12" t="str">
        <f t="shared" si="20"/>
        <v/>
      </c>
      <c r="H60" s="12" t="str">
        <f t="shared" si="20"/>
        <v/>
      </c>
      <c r="I60" s="12" t="str">
        <f t="shared" si="20"/>
        <v/>
      </c>
      <c r="J60" s="39" t="str">
        <f t="shared" si="20"/>
        <v/>
      </c>
      <c r="K60" s="12" t="str">
        <f t="shared" si="20"/>
        <v/>
      </c>
      <c r="L60" s="12" t="str">
        <f t="shared" si="20"/>
        <v/>
      </c>
      <c r="M60" s="12" t="str">
        <f t="shared" si="20"/>
        <v/>
      </c>
      <c r="N60" s="39" t="str">
        <f t="shared" si="20"/>
        <v/>
      </c>
      <c r="O60" s="12" t="str">
        <f t="shared" si="20"/>
        <v/>
      </c>
      <c r="P60" s="12" t="str">
        <f t="shared" si="20"/>
        <v/>
      </c>
      <c r="Q60" s="12" t="str">
        <f t="shared" si="20"/>
        <v/>
      </c>
      <c r="R60" s="39" t="str">
        <f t="shared" si="20"/>
        <v/>
      </c>
      <c r="S60" s="12" t="str">
        <f t="shared" si="20"/>
        <v/>
      </c>
      <c r="T60" s="12" t="str">
        <f t="shared" si="20"/>
        <v/>
      </c>
      <c r="U60" s="12" t="str">
        <f t="shared" si="20"/>
        <v/>
      </c>
      <c r="V60" s="39" t="str">
        <f t="shared" si="20"/>
        <v/>
      </c>
      <c r="W60" s="24" t="str">
        <f t="shared" si="20"/>
        <v/>
      </c>
    </row>
    <row r="61" spans="1:23" ht="18" x14ac:dyDescent="0.25">
      <c r="A61" s="28">
        <v>20</v>
      </c>
      <c r="B61" s="43" t="str">
        <f t="shared" si="18"/>
        <v>Asseemazz</v>
      </c>
      <c r="C61" s="12" t="str">
        <f t="shared" si="18"/>
        <v/>
      </c>
      <c r="D61" s="12" t="str">
        <f t="shared" ref="D61:W61" si="21">D25</f>
        <v/>
      </c>
      <c r="E61" s="12" t="str">
        <f t="shared" si="21"/>
        <v/>
      </c>
      <c r="F61" s="39" t="str">
        <f t="shared" si="21"/>
        <v/>
      </c>
      <c r="G61" s="12" t="str">
        <f t="shared" si="21"/>
        <v/>
      </c>
      <c r="H61" s="12" t="str">
        <f t="shared" si="21"/>
        <v/>
      </c>
      <c r="I61" s="12" t="str">
        <f t="shared" si="21"/>
        <v/>
      </c>
      <c r="J61" s="39" t="str">
        <f t="shared" si="21"/>
        <v/>
      </c>
      <c r="K61" s="12" t="str">
        <f t="shared" si="21"/>
        <v/>
      </c>
      <c r="L61" s="12" t="str">
        <f t="shared" si="21"/>
        <v/>
      </c>
      <c r="M61" s="12" t="str">
        <f t="shared" si="21"/>
        <v/>
      </c>
      <c r="N61" s="39" t="str">
        <f t="shared" si="21"/>
        <v/>
      </c>
      <c r="O61" s="12" t="str">
        <f t="shared" si="21"/>
        <v/>
      </c>
      <c r="P61" s="12" t="str">
        <f t="shared" si="21"/>
        <v/>
      </c>
      <c r="Q61" s="12" t="str">
        <f t="shared" si="21"/>
        <v/>
      </c>
      <c r="R61" s="39" t="str">
        <f t="shared" si="21"/>
        <v/>
      </c>
      <c r="S61" s="12" t="str">
        <f t="shared" si="21"/>
        <v/>
      </c>
      <c r="T61" s="12" t="str">
        <f t="shared" si="21"/>
        <v/>
      </c>
      <c r="U61" s="12" t="str">
        <f t="shared" si="21"/>
        <v/>
      </c>
      <c r="V61" s="39" t="str">
        <f t="shared" si="21"/>
        <v/>
      </c>
      <c r="W61" s="24" t="str">
        <f t="shared" si="21"/>
        <v/>
      </c>
    </row>
    <row r="62" spans="1:23" ht="18" x14ac:dyDescent="0.25">
      <c r="A62" s="28">
        <v>21</v>
      </c>
      <c r="B62" s="43" t="str">
        <f t="shared" si="18"/>
        <v>Rupetheking</v>
      </c>
      <c r="C62" s="12" t="str">
        <f t="shared" si="18"/>
        <v/>
      </c>
      <c r="D62" s="12" t="str">
        <f t="shared" ref="D62:W62" si="22">D26</f>
        <v/>
      </c>
      <c r="E62" s="12" t="str">
        <f t="shared" si="22"/>
        <v/>
      </c>
      <c r="F62" s="39" t="str">
        <f t="shared" si="22"/>
        <v/>
      </c>
      <c r="G62" s="12" t="str">
        <f t="shared" si="22"/>
        <v/>
      </c>
      <c r="H62" s="12" t="str">
        <f t="shared" si="22"/>
        <v/>
      </c>
      <c r="I62" s="12" t="str">
        <f t="shared" si="22"/>
        <v/>
      </c>
      <c r="J62" s="39" t="str">
        <f t="shared" si="22"/>
        <v/>
      </c>
      <c r="K62" s="12" t="str">
        <f t="shared" si="22"/>
        <v/>
      </c>
      <c r="L62" s="12" t="str">
        <f t="shared" si="22"/>
        <v/>
      </c>
      <c r="M62" s="12" t="str">
        <f t="shared" si="22"/>
        <v/>
      </c>
      <c r="N62" s="39" t="str">
        <f t="shared" si="22"/>
        <v/>
      </c>
      <c r="O62" s="12" t="str">
        <f t="shared" si="22"/>
        <v/>
      </c>
      <c r="P62" s="12" t="str">
        <f t="shared" si="22"/>
        <v/>
      </c>
      <c r="Q62" s="12" t="str">
        <f t="shared" si="22"/>
        <v/>
      </c>
      <c r="R62" s="39" t="str">
        <f t="shared" si="22"/>
        <v/>
      </c>
      <c r="S62" s="12" t="str">
        <f t="shared" si="22"/>
        <v/>
      </c>
      <c r="T62" s="12" t="str">
        <f t="shared" si="22"/>
        <v/>
      </c>
      <c r="U62" s="12" t="str">
        <f t="shared" si="22"/>
        <v/>
      </c>
      <c r="V62" s="39" t="str">
        <f t="shared" si="22"/>
        <v/>
      </c>
      <c r="W62" s="24" t="str">
        <f t="shared" si="22"/>
        <v/>
      </c>
    </row>
    <row r="63" spans="1:23" ht="18" x14ac:dyDescent="0.25">
      <c r="A63" s="28">
        <v>22</v>
      </c>
      <c r="B63" s="43" t="str">
        <f t="shared" si="18"/>
        <v>TLM_Sicily22</v>
      </c>
      <c r="C63" s="12" t="str">
        <f t="shared" si="18"/>
        <v/>
      </c>
      <c r="D63" s="12" t="str">
        <f t="shared" ref="D63:W63" si="23">D27</f>
        <v/>
      </c>
      <c r="E63" s="12" t="str">
        <f t="shared" si="23"/>
        <v/>
      </c>
      <c r="F63" s="39" t="str">
        <f t="shared" si="23"/>
        <v/>
      </c>
      <c r="G63" s="12" t="str">
        <f t="shared" si="23"/>
        <v/>
      </c>
      <c r="H63" s="12" t="str">
        <f t="shared" si="23"/>
        <v/>
      </c>
      <c r="I63" s="12" t="str">
        <f t="shared" si="23"/>
        <v/>
      </c>
      <c r="J63" s="39" t="str">
        <f t="shared" si="23"/>
        <v/>
      </c>
      <c r="K63" s="12" t="str">
        <f t="shared" si="23"/>
        <v/>
      </c>
      <c r="L63" s="12" t="str">
        <f t="shared" si="23"/>
        <v/>
      </c>
      <c r="M63" s="12" t="str">
        <f t="shared" si="23"/>
        <v/>
      </c>
      <c r="N63" s="39" t="str">
        <f t="shared" si="23"/>
        <v/>
      </c>
      <c r="O63" s="12" t="str">
        <f t="shared" si="23"/>
        <v/>
      </c>
      <c r="P63" s="12" t="str">
        <f t="shared" si="23"/>
        <v/>
      </c>
      <c r="Q63" s="12" t="str">
        <f t="shared" si="23"/>
        <v/>
      </c>
      <c r="R63" s="39" t="str">
        <f t="shared" si="23"/>
        <v/>
      </c>
      <c r="S63" s="12" t="str">
        <f t="shared" si="23"/>
        <v/>
      </c>
      <c r="T63" s="12" t="str">
        <f t="shared" si="23"/>
        <v/>
      </c>
      <c r="U63" s="12" t="str">
        <f t="shared" si="23"/>
        <v/>
      </c>
      <c r="V63" s="39" t="str">
        <f t="shared" si="23"/>
        <v/>
      </c>
      <c r="W63" s="24" t="str">
        <f t="shared" si="23"/>
        <v/>
      </c>
    </row>
    <row r="64" spans="1:23" ht="18" x14ac:dyDescent="0.25">
      <c r="A64" s="28">
        <v>23</v>
      </c>
      <c r="B64" s="43" t="str">
        <f t="shared" si="18"/>
        <v>andvea_99</v>
      </c>
      <c r="C64" s="12" t="str">
        <f t="shared" si="18"/>
        <v/>
      </c>
      <c r="D64" s="12" t="str">
        <f t="shared" ref="D64:W64" si="24">D28</f>
        <v/>
      </c>
      <c r="E64" s="12" t="str">
        <f t="shared" si="24"/>
        <v/>
      </c>
      <c r="F64" s="39" t="str">
        <f t="shared" si="24"/>
        <v/>
      </c>
      <c r="G64" s="12" t="str">
        <f t="shared" si="24"/>
        <v/>
      </c>
      <c r="H64" s="12" t="str">
        <f t="shared" si="24"/>
        <v/>
      </c>
      <c r="I64" s="12" t="str">
        <f t="shared" si="24"/>
        <v/>
      </c>
      <c r="J64" s="39" t="str">
        <f t="shared" si="24"/>
        <v/>
      </c>
      <c r="K64" s="12" t="str">
        <f t="shared" si="24"/>
        <v/>
      </c>
      <c r="L64" s="12" t="str">
        <f t="shared" si="24"/>
        <v/>
      </c>
      <c r="M64" s="12" t="str">
        <f t="shared" si="24"/>
        <v/>
      </c>
      <c r="N64" s="39" t="str">
        <f t="shared" si="24"/>
        <v/>
      </c>
      <c r="O64" s="12" t="str">
        <f t="shared" si="24"/>
        <v/>
      </c>
      <c r="P64" s="12" t="str">
        <f t="shared" si="24"/>
        <v/>
      </c>
      <c r="Q64" s="12" t="str">
        <f t="shared" si="24"/>
        <v/>
      </c>
      <c r="R64" s="39" t="str">
        <f t="shared" si="24"/>
        <v/>
      </c>
      <c r="S64" s="12" t="str">
        <f t="shared" si="24"/>
        <v/>
      </c>
      <c r="T64" s="12" t="str">
        <f t="shared" si="24"/>
        <v/>
      </c>
      <c r="U64" s="12" t="str">
        <f t="shared" si="24"/>
        <v/>
      </c>
      <c r="V64" s="39" t="str">
        <f t="shared" si="24"/>
        <v/>
      </c>
      <c r="W64" s="24" t="str">
        <f t="shared" si="24"/>
        <v/>
      </c>
    </row>
    <row r="65" spans="1:23" ht="18" x14ac:dyDescent="0.25">
      <c r="A65" s="28">
        <v>24</v>
      </c>
      <c r="B65" s="43" t="str">
        <f t="shared" si="18"/>
        <v>Febshy</v>
      </c>
      <c r="C65" s="12" t="str">
        <f t="shared" si="18"/>
        <v/>
      </c>
      <c r="D65" s="12" t="str">
        <f t="shared" ref="D65:W65" si="25">D29</f>
        <v/>
      </c>
      <c r="E65" s="12" t="str">
        <f t="shared" si="25"/>
        <v/>
      </c>
      <c r="F65" s="39" t="str">
        <f t="shared" si="25"/>
        <v/>
      </c>
      <c r="G65" s="12" t="str">
        <f t="shared" si="25"/>
        <v/>
      </c>
      <c r="H65" s="12" t="str">
        <f t="shared" si="25"/>
        <v/>
      </c>
      <c r="I65" s="12" t="str">
        <f t="shared" si="25"/>
        <v/>
      </c>
      <c r="J65" s="39" t="str">
        <f t="shared" si="25"/>
        <v/>
      </c>
      <c r="K65" s="12" t="str">
        <f t="shared" si="25"/>
        <v/>
      </c>
      <c r="L65" s="12" t="str">
        <f t="shared" si="25"/>
        <v/>
      </c>
      <c r="M65" s="12" t="str">
        <f t="shared" si="25"/>
        <v/>
      </c>
      <c r="N65" s="39" t="str">
        <f t="shared" si="25"/>
        <v/>
      </c>
      <c r="O65" s="12" t="str">
        <f t="shared" si="25"/>
        <v/>
      </c>
      <c r="P65" s="12" t="str">
        <f t="shared" si="25"/>
        <v/>
      </c>
      <c r="Q65" s="12" t="str">
        <f t="shared" si="25"/>
        <v/>
      </c>
      <c r="R65" s="39" t="str">
        <f t="shared" si="25"/>
        <v/>
      </c>
      <c r="S65" s="12" t="str">
        <f t="shared" si="25"/>
        <v/>
      </c>
      <c r="T65" s="12" t="str">
        <f t="shared" si="25"/>
        <v/>
      </c>
      <c r="U65" s="12" t="str">
        <f t="shared" si="25"/>
        <v/>
      </c>
      <c r="V65" s="39" t="str">
        <f t="shared" si="25"/>
        <v/>
      </c>
      <c r="W65" s="24" t="str">
        <f t="shared" si="25"/>
        <v/>
      </c>
    </row>
    <row r="66" spans="1:23" ht="18" x14ac:dyDescent="0.25">
      <c r="A66" s="28">
        <v>25</v>
      </c>
      <c r="B66" s="43" t="str">
        <f t="shared" si="18"/>
        <v>TLM_michaelFox12</v>
      </c>
      <c r="C66" s="12" t="str">
        <f t="shared" si="18"/>
        <v/>
      </c>
      <c r="D66" s="12" t="str">
        <f t="shared" ref="D66:W66" si="26">D30</f>
        <v/>
      </c>
      <c r="E66" s="12" t="str">
        <f t="shared" si="26"/>
        <v/>
      </c>
      <c r="F66" s="39" t="str">
        <f t="shared" si="26"/>
        <v/>
      </c>
      <c r="G66" s="12" t="str">
        <f t="shared" si="26"/>
        <v/>
      </c>
      <c r="H66" s="12" t="str">
        <f t="shared" si="26"/>
        <v/>
      </c>
      <c r="I66" s="12" t="str">
        <f t="shared" si="26"/>
        <v/>
      </c>
      <c r="J66" s="39" t="str">
        <f t="shared" si="26"/>
        <v/>
      </c>
      <c r="K66" s="12" t="str">
        <f t="shared" si="26"/>
        <v/>
      </c>
      <c r="L66" s="12" t="str">
        <f t="shared" si="26"/>
        <v/>
      </c>
      <c r="M66" s="12" t="str">
        <f t="shared" si="26"/>
        <v/>
      </c>
      <c r="N66" s="39" t="str">
        <f t="shared" si="26"/>
        <v/>
      </c>
      <c r="O66" s="12" t="str">
        <f t="shared" si="26"/>
        <v/>
      </c>
      <c r="P66" s="12" t="str">
        <f t="shared" si="26"/>
        <v/>
      </c>
      <c r="Q66" s="12" t="str">
        <f t="shared" si="26"/>
        <v/>
      </c>
      <c r="R66" s="39" t="str">
        <f t="shared" si="26"/>
        <v/>
      </c>
      <c r="S66" s="12" t="str">
        <f t="shared" si="26"/>
        <v/>
      </c>
      <c r="T66" s="12" t="str">
        <f t="shared" si="26"/>
        <v/>
      </c>
      <c r="U66" s="12" t="str">
        <f t="shared" si="26"/>
        <v/>
      </c>
      <c r="V66" s="39" t="str">
        <f t="shared" si="26"/>
        <v/>
      </c>
      <c r="W66" s="24" t="str">
        <f t="shared" si="26"/>
        <v/>
      </c>
    </row>
    <row r="67" spans="1:23" ht="18" x14ac:dyDescent="0.25">
      <c r="A67" s="28">
        <v>26</v>
      </c>
      <c r="B67" s="43" t="str">
        <f t="shared" si="18"/>
        <v>Tonyroto74</v>
      </c>
      <c r="C67" s="12" t="str">
        <f t="shared" si="18"/>
        <v/>
      </c>
      <c r="D67" s="12" t="str">
        <f t="shared" ref="D67:W67" si="27">D31</f>
        <v/>
      </c>
      <c r="E67" s="12" t="str">
        <f t="shared" si="27"/>
        <v/>
      </c>
      <c r="F67" s="39" t="str">
        <f t="shared" si="27"/>
        <v/>
      </c>
      <c r="G67" s="12" t="str">
        <f t="shared" si="27"/>
        <v/>
      </c>
      <c r="H67" s="12" t="str">
        <f t="shared" si="27"/>
        <v/>
      </c>
      <c r="I67" s="12" t="str">
        <f t="shared" si="27"/>
        <v/>
      </c>
      <c r="J67" s="39" t="str">
        <f t="shared" si="27"/>
        <v/>
      </c>
      <c r="K67" s="12" t="str">
        <f t="shared" si="27"/>
        <v/>
      </c>
      <c r="L67" s="12" t="str">
        <f t="shared" si="27"/>
        <v/>
      </c>
      <c r="M67" s="12" t="str">
        <f t="shared" si="27"/>
        <v/>
      </c>
      <c r="N67" s="39" t="str">
        <f t="shared" si="27"/>
        <v/>
      </c>
      <c r="O67" s="12" t="str">
        <f t="shared" si="27"/>
        <v/>
      </c>
      <c r="P67" s="12" t="str">
        <f t="shared" si="27"/>
        <v/>
      </c>
      <c r="Q67" s="12" t="str">
        <f t="shared" si="27"/>
        <v/>
      </c>
      <c r="R67" s="39" t="str">
        <f t="shared" si="27"/>
        <v/>
      </c>
      <c r="S67" s="12" t="str">
        <f t="shared" si="27"/>
        <v/>
      </c>
      <c r="T67" s="12" t="str">
        <f t="shared" si="27"/>
        <v/>
      </c>
      <c r="U67" s="12" t="str">
        <f t="shared" si="27"/>
        <v/>
      </c>
      <c r="V67" s="39" t="str">
        <f t="shared" si="27"/>
        <v/>
      </c>
      <c r="W67" s="24" t="str">
        <f t="shared" si="27"/>
        <v/>
      </c>
    </row>
    <row r="68" spans="1:23" ht="18" x14ac:dyDescent="0.25">
      <c r="A68" s="28">
        <v>27</v>
      </c>
      <c r="B68" s="43" t="str">
        <f t="shared" si="18"/>
        <v>TLM_dimaa66</v>
      </c>
      <c r="C68" s="12" t="str">
        <f t="shared" si="18"/>
        <v/>
      </c>
      <c r="D68" s="12" t="str">
        <f t="shared" ref="D68:W68" si="28">D32</f>
        <v/>
      </c>
      <c r="E68" s="12" t="str">
        <f t="shared" si="28"/>
        <v/>
      </c>
      <c r="F68" s="39" t="str">
        <f t="shared" si="28"/>
        <v/>
      </c>
      <c r="G68" s="12" t="str">
        <f t="shared" si="28"/>
        <v/>
      </c>
      <c r="H68" s="12" t="str">
        <f t="shared" si="28"/>
        <v/>
      </c>
      <c r="I68" s="12" t="str">
        <f t="shared" si="28"/>
        <v/>
      </c>
      <c r="J68" s="39" t="str">
        <f t="shared" si="28"/>
        <v/>
      </c>
      <c r="K68" s="12" t="str">
        <f t="shared" si="28"/>
        <v/>
      </c>
      <c r="L68" s="12" t="str">
        <f t="shared" si="28"/>
        <v/>
      </c>
      <c r="M68" s="12" t="str">
        <f t="shared" si="28"/>
        <v/>
      </c>
      <c r="N68" s="39" t="str">
        <f t="shared" si="28"/>
        <v/>
      </c>
      <c r="O68" s="12" t="str">
        <f t="shared" si="28"/>
        <v/>
      </c>
      <c r="P68" s="12" t="str">
        <f t="shared" si="28"/>
        <v/>
      </c>
      <c r="Q68" s="12" t="str">
        <f t="shared" si="28"/>
        <v/>
      </c>
      <c r="R68" s="39" t="str">
        <f t="shared" si="28"/>
        <v/>
      </c>
      <c r="S68" s="12" t="str">
        <f t="shared" si="28"/>
        <v/>
      </c>
      <c r="T68" s="12" t="str">
        <f t="shared" si="28"/>
        <v/>
      </c>
      <c r="U68" s="12" t="str">
        <f t="shared" si="28"/>
        <v/>
      </c>
      <c r="V68" s="39" t="str">
        <f t="shared" si="28"/>
        <v/>
      </c>
      <c r="W68" s="24" t="str">
        <f t="shared" si="28"/>
        <v/>
      </c>
    </row>
    <row r="69" spans="1:23" ht="18" x14ac:dyDescent="0.25">
      <c r="A69" s="28">
        <v>28</v>
      </c>
      <c r="B69" s="43" t="str">
        <f t="shared" si="18"/>
        <v>Verce90</v>
      </c>
      <c r="C69" s="12" t="str">
        <f t="shared" si="18"/>
        <v/>
      </c>
      <c r="D69" s="12" t="str">
        <f t="shared" ref="D69:W69" si="29">D33</f>
        <v/>
      </c>
      <c r="E69" s="12" t="str">
        <f t="shared" si="29"/>
        <v/>
      </c>
      <c r="F69" s="39" t="str">
        <f t="shared" si="29"/>
        <v/>
      </c>
      <c r="G69" s="12" t="str">
        <f t="shared" si="29"/>
        <v/>
      </c>
      <c r="H69" s="12" t="str">
        <f t="shared" si="29"/>
        <v/>
      </c>
      <c r="I69" s="12" t="str">
        <f t="shared" si="29"/>
        <v/>
      </c>
      <c r="J69" s="39" t="str">
        <f t="shared" si="29"/>
        <v/>
      </c>
      <c r="K69" s="12" t="str">
        <f t="shared" si="29"/>
        <v/>
      </c>
      <c r="L69" s="12" t="str">
        <f t="shared" si="29"/>
        <v/>
      </c>
      <c r="M69" s="12" t="str">
        <f t="shared" si="29"/>
        <v/>
      </c>
      <c r="N69" s="39" t="str">
        <f t="shared" si="29"/>
        <v/>
      </c>
      <c r="O69" s="12" t="str">
        <f t="shared" si="29"/>
        <v/>
      </c>
      <c r="P69" s="12" t="str">
        <f t="shared" si="29"/>
        <v/>
      </c>
      <c r="Q69" s="12" t="str">
        <f t="shared" si="29"/>
        <v/>
      </c>
      <c r="R69" s="39" t="str">
        <f t="shared" si="29"/>
        <v/>
      </c>
      <c r="S69" s="12" t="str">
        <f t="shared" si="29"/>
        <v/>
      </c>
      <c r="T69" s="12" t="str">
        <f t="shared" si="29"/>
        <v/>
      </c>
      <c r="U69" s="12" t="str">
        <f t="shared" si="29"/>
        <v/>
      </c>
      <c r="V69" s="39" t="str">
        <f t="shared" si="29"/>
        <v/>
      </c>
      <c r="W69" s="24" t="str">
        <f t="shared" si="29"/>
        <v/>
      </c>
    </row>
    <row r="70" spans="1:23" ht="18" x14ac:dyDescent="0.25">
      <c r="A70" s="28">
        <v>29</v>
      </c>
      <c r="B70" s="43" t="str">
        <f t="shared" si="18"/>
        <v>Ulix1990</v>
      </c>
      <c r="C70" s="12" t="str">
        <f t="shared" si="18"/>
        <v/>
      </c>
      <c r="D70" s="12" t="str">
        <f t="shared" ref="D70:W70" si="30">D34</f>
        <v/>
      </c>
      <c r="E70" s="12" t="str">
        <f t="shared" si="30"/>
        <v/>
      </c>
      <c r="F70" s="39" t="str">
        <f t="shared" si="30"/>
        <v/>
      </c>
      <c r="G70" s="12" t="str">
        <f t="shared" si="30"/>
        <v/>
      </c>
      <c r="H70" s="12" t="str">
        <f t="shared" si="30"/>
        <v/>
      </c>
      <c r="I70" s="12" t="str">
        <f t="shared" si="30"/>
        <v/>
      </c>
      <c r="J70" s="39" t="str">
        <f t="shared" si="30"/>
        <v/>
      </c>
      <c r="K70" s="12" t="str">
        <f t="shared" si="30"/>
        <v/>
      </c>
      <c r="L70" s="12" t="str">
        <f t="shared" si="30"/>
        <v/>
      </c>
      <c r="M70" s="12" t="str">
        <f t="shared" si="30"/>
        <v/>
      </c>
      <c r="N70" s="39" t="str">
        <f t="shared" si="30"/>
        <v/>
      </c>
      <c r="O70" s="12" t="str">
        <f t="shared" si="30"/>
        <v/>
      </c>
      <c r="P70" s="12" t="str">
        <f t="shared" si="30"/>
        <v/>
      </c>
      <c r="Q70" s="12" t="str">
        <f t="shared" si="30"/>
        <v/>
      </c>
      <c r="R70" s="39" t="str">
        <f t="shared" si="30"/>
        <v/>
      </c>
      <c r="S70" s="12" t="str">
        <f t="shared" si="30"/>
        <v/>
      </c>
      <c r="T70" s="12" t="str">
        <f t="shared" si="30"/>
        <v/>
      </c>
      <c r="U70" s="12" t="str">
        <f t="shared" si="30"/>
        <v/>
      </c>
      <c r="V70" s="39" t="str">
        <f t="shared" si="30"/>
        <v/>
      </c>
      <c r="W70" s="24" t="str">
        <f t="shared" si="30"/>
        <v/>
      </c>
    </row>
    <row r="71" spans="1:23" ht="18" x14ac:dyDescent="0.25">
      <c r="A71" s="28">
        <v>30</v>
      </c>
      <c r="B71" s="43" t="str">
        <f t="shared" si="18"/>
        <v>CTR_ocior-78</v>
      </c>
      <c r="C71" s="12" t="str">
        <f t="shared" si="18"/>
        <v/>
      </c>
      <c r="D71" s="12" t="str">
        <f t="shared" ref="D71:W71" si="31">D35</f>
        <v/>
      </c>
      <c r="E71" s="12" t="str">
        <f t="shared" si="31"/>
        <v/>
      </c>
      <c r="F71" s="39" t="str">
        <f t="shared" si="31"/>
        <v/>
      </c>
      <c r="G71" s="12" t="str">
        <f t="shared" si="31"/>
        <v/>
      </c>
      <c r="H71" s="12" t="str">
        <f t="shared" si="31"/>
        <v/>
      </c>
      <c r="I71" s="12" t="str">
        <f t="shared" si="31"/>
        <v/>
      </c>
      <c r="J71" s="39" t="str">
        <f t="shared" si="31"/>
        <v/>
      </c>
      <c r="K71" s="12" t="str">
        <f t="shared" si="31"/>
        <v/>
      </c>
      <c r="L71" s="12" t="str">
        <f t="shared" si="31"/>
        <v/>
      </c>
      <c r="M71" s="12" t="str">
        <f t="shared" si="31"/>
        <v/>
      </c>
      <c r="N71" s="39" t="str">
        <f t="shared" si="31"/>
        <v/>
      </c>
      <c r="O71" s="12" t="str">
        <f t="shared" si="31"/>
        <v/>
      </c>
      <c r="P71" s="12" t="str">
        <f t="shared" si="31"/>
        <v/>
      </c>
      <c r="Q71" s="12" t="str">
        <f t="shared" si="31"/>
        <v/>
      </c>
      <c r="R71" s="39" t="str">
        <f t="shared" si="31"/>
        <v/>
      </c>
      <c r="S71" s="12" t="str">
        <f t="shared" si="31"/>
        <v/>
      </c>
      <c r="T71" s="12" t="str">
        <f t="shared" si="31"/>
        <v/>
      </c>
      <c r="U71" s="12" t="str">
        <f t="shared" si="31"/>
        <v/>
      </c>
      <c r="V71" s="39" t="str">
        <f t="shared" si="31"/>
        <v/>
      </c>
      <c r="W71" s="24" t="str">
        <f t="shared" si="31"/>
        <v/>
      </c>
    </row>
    <row r="72" spans="1:23" ht="18" x14ac:dyDescent="0.25">
      <c r="A72" s="28">
        <v>31</v>
      </c>
      <c r="B72" s="43" t="str">
        <f t="shared" si="18"/>
        <v>TLM_SKIZZO 34</v>
      </c>
      <c r="C72" s="12" t="str">
        <f t="shared" si="18"/>
        <v/>
      </c>
      <c r="D72" s="12" t="str">
        <f t="shared" ref="D72:W72" si="32">D36</f>
        <v/>
      </c>
      <c r="E72" s="12" t="str">
        <f t="shared" si="32"/>
        <v/>
      </c>
      <c r="F72" s="39" t="str">
        <f t="shared" si="32"/>
        <v/>
      </c>
      <c r="G72" s="12" t="str">
        <f t="shared" si="32"/>
        <v/>
      </c>
      <c r="H72" s="12" t="str">
        <f t="shared" si="32"/>
        <v/>
      </c>
      <c r="I72" s="12" t="str">
        <f t="shared" si="32"/>
        <v/>
      </c>
      <c r="J72" s="39" t="str">
        <f t="shared" si="32"/>
        <v/>
      </c>
      <c r="K72" s="12" t="str">
        <f t="shared" si="32"/>
        <v/>
      </c>
      <c r="L72" s="12" t="str">
        <f t="shared" si="32"/>
        <v/>
      </c>
      <c r="M72" s="12" t="str">
        <f t="shared" si="32"/>
        <v/>
      </c>
      <c r="N72" s="39" t="str">
        <f t="shared" si="32"/>
        <v/>
      </c>
      <c r="O72" s="12" t="str">
        <f t="shared" si="32"/>
        <v/>
      </c>
      <c r="P72" s="12" t="str">
        <f t="shared" si="32"/>
        <v/>
      </c>
      <c r="Q72" s="12" t="str">
        <f t="shared" si="32"/>
        <v/>
      </c>
      <c r="R72" s="39" t="str">
        <f t="shared" si="32"/>
        <v/>
      </c>
      <c r="S72" s="12" t="str">
        <f t="shared" si="32"/>
        <v/>
      </c>
      <c r="T72" s="12" t="str">
        <f t="shared" si="32"/>
        <v/>
      </c>
      <c r="U72" s="12" t="str">
        <f t="shared" si="32"/>
        <v/>
      </c>
      <c r="V72" s="39" t="str">
        <f t="shared" si="32"/>
        <v/>
      </c>
      <c r="W72" s="24" t="str">
        <f t="shared" si="32"/>
        <v/>
      </c>
    </row>
    <row r="73" spans="1:23" ht="18" x14ac:dyDescent="0.25">
      <c r="A73" s="28">
        <v>32</v>
      </c>
      <c r="B73" s="43" t="str">
        <f t="shared" si="18"/>
        <v>Mikedb__91__</v>
      </c>
      <c r="C73" s="12" t="str">
        <f t="shared" si="18"/>
        <v/>
      </c>
      <c r="D73" s="12" t="str">
        <f t="shared" ref="D73:W73" si="33">D37</f>
        <v/>
      </c>
      <c r="E73" s="12" t="str">
        <f t="shared" si="33"/>
        <v/>
      </c>
      <c r="F73" s="39" t="str">
        <f t="shared" si="33"/>
        <v/>
      </c>
      <c r="G73" s="12" t="str">
        <f t="shared" si="33"/>
        <v/>
      </c>
      <c r="H73" s="12" t="str">
        <f t="shared" si="33"/>
        <v/>
      </c>
      <c r="I73" s="12" t="str">
        <f t="shared" si="33"/>
        <v/>
      </c>
      <c r="J73" s="39" t="str">
        <f t="shared" si="33"/>
        <v/>
      </c>
      <c r="K73" s="12" t="str">
        <f t="shared" si="33"/>
        <v/>
      </c>
      <c r="L73" s="12" t="str">
        <f t="shared" si="33"/>
        <v/>
      </c>
      <c r="M73" s="12" t="str">
        <f t="shared" si="33"/>
        <v/>
      </c>
      <c r="N73" s="39" t="str">
        <f t="shared" si="33"/>
        <v/>
      </c>
      <c r="O73" s="12" t="str">
        <f t="shared" si="33"/>
        <v/>
      </c>
      <c r="P73" s="12" t="str">
        <f t="shared" si="33"/>
        <v/>
      </c>
      <c r="Q73" s="12" t="str">
        <f t="shared" si="33"/>
        <v/>
      </c>
      <c r="R73" s="39" t="str">
        <f t="shared" si="33"/>
        <v/>
      </c>
      <c r="S73" s="12" t="str">
        <f t="shared" si="33"/>
        <v/>
      </c>
      <c r="T73" s="12" t="str">
        <f t="shared" si="33"/>
        <v/>
      </c>
      <c r="U73" s="12" t="str">
        <f t="shared" si="33"/>
        <v/>
      </c>
      <c r="V73" s="39" t="str">
        <f t="shared" si="33"/>
        <v/>
      </c>
      <c r="W73" s="24" t="str">
        <f t="shared" si="33"/>
        <v/>
      </c>
    </row>
  </sheetData>
  <mergeCells count="18">
    <mergeCell ref="A40:B41"/>
    <mergeCell ref="C40:F40"/>
    <mergeCell ref="G40:J40"/>
    <mergeCell ref="K40:N40"/>
    <mergeCell ref="A1:W1"/>
    <mergeCell ref="W2:W3"/>
    <mergeCell ref="O40:R40"/>
    <mergeCell ref="S40:V40"/>
    <mergeCell ref="W40:W41"/>
    <mergeCell ref="A2:A3"/>
    <mergeCell ref="B2:B3"/>
    <mergeCell ref="C2:F2"/>
    <mergeCell ref="G2:J2"/>
    <mergeCell ref="K2:N2"/>
    <mergeCell ref="O2:R2"/>
    <mergeCell ref="S2:V2"/>
    <mergeCell ref="A4:B4"/>
    <mergeCell ref="A21:B2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28"/>
  <sheetViews>
    <sheetView tabSelected="1" zoomScale="94" workbookViewId="0">
      <selection activeCell="C11" sqref="C1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07" t="s">
        <v>362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</row>
    <row r="2" spans="1:26" ht="19" x14ac:dyDescent="0.25">
      <c r="A2" s="106" t="s">
        <v>386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26" ht="22" customHeight="1" x14ac:dyDescent="0.2">
      <c r="A3" s="88" t="s">
        <v>19</v>
      </c>
      <c r="B3" s="88" t="s">
        <v>14</v>
      </c>
      <c r="C3" s="103" t="s">
        <v>363</v>
      </c>
      <c r="D3" s="103" t="s">
        <v>15</v>
      </c>
      <c r="E3" s="103" t="s">
        <v>425</v>
      </c>
      <c r="F3" s="96" t="s">
        <v>411</v>
      </c>
      <c r="G3" s="97"/>
      <c r="H3" s="97"/>
      <c r="I3" s="98"/>
      <c r="J3" s="96" t="s">
        <v>412</v>
      </c>
      <c r="K3" s="97"/>
      <c r="L3" s="97"/>
      <c r="M3" s="98"/>
      <c r="N3" s="96" t="s">
        <v>413</v>
      </c>
      <c r="O3" s="97"/>
      <c r="P3" s="97"/>
      <c r="Q3" s="98"/>
      <c r="R3" s="96" t="s">
        <v>414</v>
      </c>
      <c r="S3" s="97"/>
      <c r="T3" s="97"/>
      <c r="U3" s="98"/>
      <c r="V3" s="96" t="s">
        <v>415</v>
      </c>
      <c r="W3" s="97"/>
      <c r="X3" s="97"/>
      <c r="Y3" s="98"/>
      <c r="Z3" s="95" t="s">
        <v>33</v>
      </c>
    </row>
    <row r="4" spans="1:26" ht="27" x14ac:dyDescent="0.2">
      <c r="A4" s="88"/>
      <c r="B4" s="88"/>
      <c r="C4" s="104"/>
      <c r="D4" s="104"/>
      <c r="E4" s="104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95"/>
    </row>
    <row r="5" spans="1:26" ht="20" customHeight="1" x14ac:dyDescent="0.2">
      <c r="A5" s="90" t="s">
        <v>29</v>
      </c>
      <c r="B5" s="91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TLM_wid83</v>
      </c>
      <c r="C6" s="67" t="str">
        <f>VLOOKUP(B6,nomi!B:C,2,FALSE)</f>
        <v>TLM_wid83</v>
      </c>
      <c r="D6" s="67" t="str">
        <f>VLOOKUP(B6,nomi!B:G,6,FALSE)</f>
        <v>TLM</v>
      </c>
      <c r="E6" s="67">
        <f>VLOOKUP(B6,nomi!B:I,8,FALSE)</f>
        <v>23</v>
      </c>
      <c r="F6" s="12" t="str">
        <f>'CLASSIFICA ORDINATA'!C5</f>
        <v/>
      </c>
      <c r="G6" s="12" t="str">
        <f>'CLASSIFICA ORDINATA'!D5</f>
        <v/>
      </c>
      <c r="H6" s="12" t="str">
        <f>'CLASSIFICA ORDINATA'!E5</f>
        <v/>
      </c>
      <c r="I6" s="79" t="str">
        <f>'CLASSIFICA ORDINATA'!F5</f>
        <v/>
      </c>
      <c r="J6" s="12" t="str">
        <f>'CLASSIFICA ORDINATA'!G5</f>
        <v/>
      </c>
      <c r="K6" s="12" t="str">
        <f>'CLASSIFICA ORDINATA'!H5</f>
        <v/>
      </c>
      <c r="L6" s="12" t="str">
        <f>'CLASSIFICA ORDINATA'!I5</f>
        <v/>
      </c>
      <c r="M6" s="79" t="str">
        <f>'CLASSIFICA ORDINATA'!J5</f>
        <v/>
      </c>
      <c r="N6" s="12" t="str">
        <f>'CLASSIFICA ORDINATA'!K5</f>
        <v/>
      </c>
      <c r="O6" s="12" t="str">
        <f>'CLASSIFICA ORDINATA'!L5</f>
        <v/>
      </c>
      <c r="P6" s="12" t="str">
        <f>'CLASSIFICA ORDINATA'!M5</f>
        <v/>
      </c>
      <c r="Q6" s="79" t="str">
        <f>'CLASSIFICA ORDINATA'!N5</f>
        <v/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 t="str">
        <f>'CLASSIFICA ORDINATA'!W5</f>
        <v/>
      </c>
    </row>
    <row r="7" spans="1:26" ht="20" customHeight="1" x14ac:dyDescent="0.2">
      <c r="A7" s="69">
        <v>2</v>
      </c>
      <c r="B7" s="67" t="str">
        <f>'CLASSIFICA ORDINATA'!B6</f>
        <v>Rupetheking</v>
      </c>
      <c r="C7" s="67" t="str">
        <f>VLOOKUP(B7,nomi!B:C,2,FALSE)</f>
        <v xml:space="preserve">Tlm-rupetheking </v>
      </c>
      <c r="D7" s="67" t="str">
        <f>VLOOKUP(B7,nomi!B:G,6,FALSE)</f>
        <v>TLM</v>
      </c>
      <c r="E7" s="67">
        <f>VLOOKUP(B7,nomi!B:I,8,FALSE)</f>
        <v>44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9" t="str">
        <f>'CLASSIFICA ORDINATA'!F6</f>
        <v/>
      </c>
      <c r="J7" s="12" t="str">
        <f>'CLASSIFICA ORDINATA'!G6</f>
        <v/>
      </c>
      <c r="K7" s="12" t="str">
        <f>'CLASSIFICA ORDINATA'!H6</f>
        <v/>
      </c>
      <c r="L7" s="12" t="str">
        <f>'CLASSIFICA ORDINATA'!I6</f>
        <v/>
      </c>
      <c r="M7" s="79" t="str">
        <f>'CLASSIFICA ORDINATA'!J6</f>
        <v/>
      </c>
      <c r="N7" s="12" t="str">
        <f>'CLASSIFICA ORDINATA'!K6</f>
        <v/>
      </c>
      <c r="O7" s="12" t="str">
        <f>'CLASSIFICA ORDINATA'!L6</f>
        <v/>
      </c>
      <c r="P7" s="12" t="str">
        <f>'CLASSIFICA ORDINATA'!M6</f>
        <v/>
      </c>
      <c r="Q7" s="79" t="str">
        <f>'CLASSIFICA ORDINATA'!N6</f>
        <v/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 t="str">
        <f>'CLASSIFICA ORDINATA'!W6</f>
        <v/>
      </c>
    </row>
    <row r="8" spans="1:26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67">
        <f>VLOOKUP(B8,nomi!B:I,8,FALSE)</f>
        <v>99</v>
      </c>
      <c r="F8" s="12" t="str">
        <f>'CLASSIFICA ORDINATA'!C7</f>
        <v/>
      </c>
      <c r="G8" s="12" t="str">
        <f>'CLASSIFICA ORDINATA'!D7</f>
        <v/>
      </c>
      <c r="H8" s="12" t="str">
        <f>'CLASSIFICA ORDINATA'!E7</f>
        <v/>
      </c>
      <c r="I8" s="79" t="str">
        <f>'CLASSIFICA ORDINATA'!F7</f>
        <v/>
      </c>
      <c r="J8" s="12" t="str">
        <f>'CLASSIFICA ORDINATA'!G7</f>
        <v/>
      </c>
      <c r="K8" s="12" t="str">
        <f>'CLASSIFICA ORDINATA'!H7</f>
        <v/>
      </c>
      <c r="L8" s="12" t="str">
        <f>'CLASSIFICA ORDINATA'!I7</f>
        <v/>
      </c>
      <c r="M8" s="79" t="str">
        <f>'CLASSIFICA ORDINATA'!J7</f>
        <v/>
      </c>
      <c r="N8" s="12" t="str">
        <f>'CLASSIFICA ORDINATA'!K7</f>
        <v/>
      </c>
      <c r="O8" s="12" t="str">
        <f>'CLASSIFICA ORDINATA'!L7</f>
        <v/>
      </c>
      <c r="P8" s="12" t="str">
        <f>'CLASSIFICA ORDINATA'!M7</f>
        <v/>
      </c>
      <c r="Q8" s="79" t="str">
        <f>'CLASSIFICA ORDINATA'!N7</f>
        <v/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 t="str">
        <f>'CLASSIFICA ORDINATA'!W7</f>
        <v/>
      </c>
    </row>
    <row r="9" spans="1:26" ht="20" customHeight="1" x14ac:dyDescent="0.2">
      <c r="A9" s="71">
        <v>4</v>
      </c>
      <c r="B9" s="67" t="str">
        <f>'CLASSIFICA ORDINATA'!B8</f>
        <v>Bobgre93</v>
      </c>
      <c r="C9" s="67" t="str">
        <f>VLOOKUP(B9,nomi!B:C,2,FALSE)</f>
        <v>TLM_BobGre93</v>
      </c>
      <c r="D9" s="67" t="str">
        <f>VLOOKUP(B9,nomi!B:G,6,FALSE)</f>
        <v>TLM</v>
      </c>
      <c r="E9" s="67">
        <f>VLOOKUP(B9,nomi!B:I,8,FALSE)</f>
        <v>112</v>
      </c>
      <c r="F9" s="12" t="str">
        <f>'CLASSIFICA ORDINATA'!C8</f>
        <v/>
      </c>
      <c r="G9" s="12" t="str">
        <f>'CLASSIFICA ORDINATA'!D8</f>
        <v/>
      </c>
      <c r="H9" s="12" t="str">
        <f>'CLASSIFICA ORDINATA'!E8</f>
        <v/>
      </c>
      <c r="I9" s="79" t="str">
        <f>'CLASSIFICA ORDINATA'!F8</f>
        <v/>
      </c>
      <c r="J9" s="12" t="str">
        <f>'CLASSIFICA ORDINATA'!G8</f>
        <v/>
      </c>
      <c r="K9" s="12" t="str">
        <f>'CLASSIFICA ORDINATA'!H8</f>
        <v/>
      </c>
      <c r="L9" s="12" t="str">
        <f>'CLASSIFICA ORDINATA'!I8</f>
        <v/>
      </c>
      <c r="M9" s="79" t="str">
        <f>'CLASSIFICA ORDINATA'!J8</f>
        <v/>
      </c>
      <c r="N9" s="12" t="str">
        <f>'CLASSIFICA ORDINATA'!K8</f>
        <v/>
      </c>
      <c r="O9" s="12" t="str">
        <f>'CLASSIFICA ORDINATA'!L8</f>
        <v/>
      </c>
      <c r="P9" s="12" t="str">
        <f>'CLASSIFICA ORDINATA'!M8</f>
        <v/>
      </c>
      <c r="Q9" s="79" t="str">
        <f>'CLASSIFICA ORDINATA'!N8</f>
        <v/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 t="str">
        <f>'CLASSIFICA ORDINATA'!W8</f>
        <v/>
      </c>
    </row>
    <row r="10" spans="1:26" ht="20" customHeight="1" x14ac:dyDescent="0.2">
      <c r="A10" s="71">
        <v>5</v>
      </c>
      <c r="B10" s="67" t="str">
        <f>'CLASSIFICA ORDINATA'!B9</f>
        <v>xRUA85x</v>
      </c>
      <c r="C10" s="67" t="str">
        <f>VLOOKUP(B10,nomi!B:C,2,FALSE)</f>
        <v>TLM_Le Rua’</v>
      </c>
      <c r="D10" s="67" t="str">
        <f>VLOOKUP(B10,nomi!B:G,6,FALSE)</f>
        <v>TLM</v>
      </c>
      <c r="E10" s="67">
        <f>VLOOKUP(B10,nomi!B:I,8,FALSE)</f>
        <v>85</v>
      </c>
      <c r="F10" s="12" t="str">
        <f>'CLASSIFICA ORDINATA'!C9</f>
        <v/>
      </c>
      <c r="G10" s="12" t="str">
        <f>'CLASSIFICA ORDINATA'!D9</f>
        <v/>
      </c>
      <c r="H10" s="12" t="str">
        <f>'CLASSIFICA ORDINATA'!E9</f>
        <v/>
      </c>
      <c r="I10" s="79" t="str">
        <f>'CLASSIFICA ORDINATA'!F9</f>
        <v/>
      </c>
      <c r="J10" s="12" t="str">
        <f>'CLASSIFICA ORDINATA'!G9</f>
        <v/>
      </c>
      <c r="K10" s="12" t="str">
        <f>'CLASSIFICA ORDINATA'!H9</f>
        <v/>
      </c>
      <c r="L10" s="12" t="str">
        <f>'CLASSIFICA ORDINATA'!I9</f>
        <v/>
      </c>
      <c r="M10" s="79" t="str">
        <f>'CLASSIFICA ORDINATA'!J9</f>
        <v/>
      </c>
      <c r="N10" s="12" t="str">
        <f>'CLASSIFICA ORDINATA'!K9</f>
        <v/>
      </c>
      <c r="O10" s="12" t="str">
        <f>'CLASSIFICA ORDINATA'!L9</f>
        <v/>
      </c>
      <c r="P10" s="12" t="str">
        <f>'CLASSIFICA ORDINATA'!M9</f>
        <v/>
      </c>
      <c r="Q10" s="79" t="str">
        <f>'CLASSIFICA ORDINATA'!N9</f>
        <v/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 t="str">
        <f>'CLASSIFICA ORDINATA'!W9</f>
        <v/>
      </c>
    </row>
    <row r="11" spans="1:26" ht="20" customHeight="1" x14ac:dyDescent="0.2">
      <c r="A11" s="71">
        <v>6</v>
      </c>
      <c r="B11" s="67" t="str">
        <f>'CLASSIFICA ORDINATA'!B10</f>
        <v>TheGuarny</v>
      </c>
      <c r="C11" s="67" t="str">
        <f>VLOOKUP(B11,nomi!B:C,2,FALSE)</f>
        <v>TLM_TheGuarny</v>
      </c>
      <c r="D11" s="67" t="str">
        <f>VLOOKUP(B11,nomi!B:G,6,FALSE)</f>
        <v>TLM</v>
      </c>
      <c r="E11" s="67">
        <f>VLOOKUP(B11,nomi!B:I,8,FALSE)</f>
        <v>92</v>
      </c>
      <c r="F11" s="12" t="str">
        <f>'CLASSIFICA ORDINATA'!C10</f>
        <v/>
      </c>
      <c r="G11" s="12" t="str">
        <f>'CLASSIFICA ORDINATA'!D10</f>
        <v/>
      </c>
      <c r="H11" s="12" t="str">
        <f>'CLASSIFICA ORDINATA'!E10</f>
        <v/>
      </c>
      <c r="I11" s="79" t="str">
        <f>'CLASSIFICA ORDINATA'!F10</f>
        <v/>
      </c>
      <c r="J11" s="12" t="str">
        <f>'CLASSIFICA ORDINATA'!G10</f>
        <v/>
      </c>
      <c r="K11" s="12" t="str">
        <f>'CLASSIFICA ORDINATA'!H10</f>
        <v/>
      </c>
      <c r="L11" s="12" t="str">
        <f>'CLASSIFICA ORDINATA'!I10</f>
        <v/>
      </c>
      <c r="M11" s="79" t="str">
        <f>'CLASSIFICA ORDINATA'!J10</f>
        <v/>
      </c>
      <c r="N11" s="12" t="str">
        <f>'CLASSIFICA ORDINATA'!K10</f>
        <v/>
      </c>
      <c r="O11" s="12" t="str">
        <f>'CLASSIFICA ORDINATA'!L10</f>
        <v/>
      </c>
      <c r="P11" s="12" t="str">
        <f>'CLASSIFICA ORDINATA'!M10</f>
        <v/>
      </c>
      <c r="Q11" s="79" t="str">
        <f>'CLASSIFICA ORDINATA'!N10</f>
        <v/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 t="str">
        <f>'CLASSIFICA ORDINATA'!W10</f>
        <v/>
      </c>
    </row>
    <row r="12" spans="1:26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67">
        <f>VLOOKUP(B12,nomi!B:I,8,FALSE)</f>
        <v>10</v>
      </c>
      <c r="F12" s="12" t="str">
        <f>'CLASSIFICA ORDINATA'!C11</f>
        <v/>
      </c>
      <c r="G12" s="12" t="str">
        <f>'CLASSIFICA ORDINATA'!D11</f>
        <v/>
      </c>
      <c r="H12" s="12" t="str">
        <f>'CLASSIFICA ORDINATA'!E11</f>
        <v/>
      </c>
      <c r="I12" s="79" t="str">
        <f>'CLASSIFICA ORDINATA'!F11</f>
        <v/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9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 t="str">
        <f>'CLASSIFICA ORDINATA'!W11</f>
        <v/>
      </c>
    </row>
    <row r="13" spans="1:26" ht="20" customHeight="1" x14ac:dyDescent="0.2">
      <c r="A13" s="71">
        <v>8</v>
      </c>
      <c r="B13" s="67" t="str">
        <f>'CLASSIFICA ORDINATA'!B12</f>
        <v>TLM_Kappa</v>
      </c>
      <c r="C13" s="67" t="str">
        <f>VLOOKUP(B13,nomi!B:C,2,FALSE)</f>
        <v>TLM_Kappa</v>
      </c>
      <c r="D13" s="67" t="str">
        <f>VLOOKUP(B13,nomi!B:G,6,FALSE)</f>
        <v>TLM</v>
      </c>
      <c r="E13" s="67">
        <f>VLOOKUP(B13,nomi!B:I,8,FALSE)</f>
        <v>53</v>
      </c>
      <c r="F13" s="12" t="str">
        <f>'CLASSIFICA ORDINATA'!C12</f>
        <v/>
      </c>
      <c r="G13" s="12" t="str">
        <f>'CLASSIFICA ORDINATA'!D12</f>
        <v/>
      </c>
      <c r="H13" s="12" t="str">
        <f>'CLASSIFICA ORDINATA'!E12</f>
        <v/>
      </c>
      <c r="I13" s="79" t="str">
        <f>'CLASSIFICA ORDINATA'!F12</f>
        <v/>
      </c>
      <c r="J13" s="12" t="str">
        <f>'CLASSIFICA ORDINATA'!G12</f>
        <v/>
      </c>
      <c r="K13" s="12" t="str">
        <f>'CLASSIFICA ORDINATA'!H12</f>
        <v/>
      </c>
      <c r="L13" s="12" t="str">
        <f>'CLASSIFICA ORDINATA'!I12</f>
        <v/>
      </c>
      <c r="M13" s="79" t="str">
        <f>'CLASSIFICA ORDINATA'!J12</f>
        <v/>
      </c>
      <c r="N13" s="12" t="str">
        <f>'CLASSIFICA ORDINATA'!K12</f>
        <v/>
      </c>
      <c r="O13" s="12" t="str">
        <f>'CLASSIFICA ORDINATA'!L12</f>
        <v/>
      </c>
      <c r="P13" s="12" t="str">
        <f>'CLASSIFICA ORDINATA'!M12</f>
        <v/>
      </c>
      <c r="Q13" s="79" t="str">
        <f>'CLASSIFICA ORDINATA'!N12</f>
        <v/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 t="str">
        <f>'CLASSIFICA ORDINATA'!W12</f>
        <v/>
      </c>
    </row>
    <row r="14" spans="1:26" ht="20" customHeight="1" x14ac:dyDescent="0.2">
      <c r="A14" s="71">
        <v>9</v>
      </c>
      <c r="B14" s="67" t="str">
        <f>'CLASSIFICA ORDINATA'!B13</f>
        <v>Verce90</v>
      </c>
      <c r="C14" s="67" t="str">
        <f>VLOOKUP(B14,nomi!B:C,2,FALSE)</f>
        <v>TLM Verce90</v>
      </c>
      <c r="D14" s="67" t="str">
        <f>VLOOKUP(B14,nomi!B:G,6,FALSE)</f>
        <v>TLM</v>
      </c>
      <c r="E14" s="67">
        <f>VLOOKUP(B14,nomi!B:I,8,FALSE)</f>
        <v>25</v>
      </c>
      <c r="F14" s="12" t="str">
        <f>'CLASSIFICA ORDINATA'!C13</f>
        <v/>
      </c>
      <c r="G14" s="12" t="str">
        <f>'CLASSIFICA ORDINATA'!D13</f>
        <v/>
      </c>
      <c r="H14" s="12" t="str">
        <f>'CLASSIFICA ORDINATA'!E13</f>
        <v/>
      </c>
      <c r="I14" s="79" t="str">
        <f>'CLASSIFICA ORDINATA'!F13</f>
        <v/>
      </c>
      <c r="J14" s="12" t="str">
        <f>'CLASSIFICA ORDINATA'!G13</f>
        <v/>
      </c>
      <c r="K14" s="12" t="str">
        <f>'CLASSIFICA ORDINATA'!H13</f>
        <v/>
      </c>
      <c r="L14" s="12" t="str">
        <f>'CLASSIFICA ORDINATA'!I13</f>
        <v/>
      </c>
      <c r="M14" s="79" t="str">
        <f>'CLASSIFICA ORDINATA'!J13</f>
        <v/>
      </c>
      <c r="N14" s="12" t="str">
        <f>'CLASSIFICA ORDINATA'!K13</f>
        <v/>
      </c>
      <c r="O14" s="12" t="str">
        <f>'CLASSIFICA ORDINATA'!L13</f>
        <v/>
      </c>
      <c r="P14" s="12" t="str">
        <f>'CLASSIFICA ORDINATA'!M13</f>
        <v/>
      </c>
      <c r="Q14" s="79" t="str">
        <f>'CLASSIFICA ORDINATA'!N13</f>
        <v/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 t="str">
        <f>'CLASSIFICA ORDINATA'!W13</f>
        <v/>
      </c>
    </row>
    <row r="15" spans="1:26" ht="20" customHeight="1" x14ac:dyDescent="0.2">
      <c r="A15" s="71">
        <v>10</v>
      </c>
      <c r="B15" s="67" t="str">
        <f>'CLASSIFICA ORDINATA'!B14</f>
        <v>selpa974</v>
      </c>
      <c r="C15" s="67" t="str">
        <f>VLOOKUP(B15,nomi!B:C,2,FALSE)</f>
        <v>TLM_Selpa974_#88</v>
      </c>
      <c r="D15" s="67" t="str">
        <f>VLOOKUP(B15,nomi!B:G,6,FALSE)</f>
        <v>TLM</v>
      </c>
      <c r="E15" s="67">
        <f>VLOOKUP(B15,nomi!B:I,8,FALSE)</f>
        <v>88</v>
      </c>
      <c r="F15" s="12" t="str">
        <f>'CLASSIFICA ORDINATA'!C14</f>
        <v/>
      </c>
      <c r="G15" s="12" t="str">
        <f>'CLASSIFICA ORDINATA'!D14</f>
        <v/>
      </c>
      <c r="H15" s="12" t="str">
        <f>'CLASSIFICA ORDINATA'!E14</f>
        <v/>
      </c>
      <c r="I15" s="79" t="str">
        <f>'CLASSIFICA ORDINATA'!F14</f>
        <v/>
      </c>
      <c r="J15" s="12" t="str">
        <f>'CLASSIFICA ORDINATA'!G14</f>
        <v/>
      </c>
      <c r="K15" s="12" t="str">
        <f>'CLASSIFICA ORDINATA'!H14</f>
        <v/>
      </c>
      <c r="L15" s="12" t="str">
        <f>'CLASSIFICA ORDINATA'!I14</f>
        <v/>
      </c>
      <c r="M15" s="79" t="str">
        <f>'CLASSIFICA ORDINATA'!J14</f>
        <v/>
      </c>
      <c r="N15" s="12" t="str">
        <f>'CLASSIFICA ORDINATA'!K14</f>
        <v/>
      </c>
      <c r="O15" s="12" t="str">
        <f>'CLASSIFICA ORDINATA'!L14</f>
        <v/>
      </c>
      <c r="P15" s="12" t="str">
        <f>'CLASSIFICA ORDINATA'!M14</f>
        <v/>
      </c>
      <c r="Q15" s="79" t="str">
        <f>'CLASSIFICA ORDINATA'!N14</f>
        <v/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 t="str">
        <f>'CLASSIFICA ORDINATA'!W14</f>
        <v/>
      </c>
    </row>
    <row r="16" spans="1:26" ht="20" customHeight="1" x14ac:dyDescent="0.2">
      <c r="A16" s="71">
        <v>11</v>
      </c>
      <c r="B16" s="67" t="str">
        <f>'CLASSIFICA ORDINATA'!B15</f>
        <v>TLM_SKIZZO 34</v>
      </c>
      <c r="C16" s="67" t="str">
        <f>VLOOKUP(B16,nomi!B:C,2,FALSE)</f>
        <v>TLM_SKIZZO 34</v>
      </c>
      <c r="D16" s="67" t="str">
        <f>VLOOKUP(B16,nomi!B:G,6,FALSE)</f>
        <v>TLM</v>
      </c>
      <c r="E16" s="67">
        <f>VLOOKUP(B16,nomi!B:I,8,FALSE)</f>
        <v>34</v>
      </c>
      <c r="F16" s="12" t="str">
        <f>'CLASSIFICA ORDINATA'!C15</f>
        <v/>
      </c>
      <c r="G16" s="12" t="str">
        <f>'CLASSIFICA ORDINATA'!D15</f>
        <v/>
      </c>
      <c r="H16" s="12" t="str">
        <f>'CLASSIFICA ORDINATA'!E15</f>
        <v/>
      </c>
      <c r="I16" s="79" t="str">
        <f>'CLASSIFICA ORDINATA'!F15</f>
        <v/>
      </c>
      <c r="J16" s="12" t="str">
        <f>'CLASSIFICA ORDINATA'!G15</f>
        <v/>
      </c>
      <c r="K16" s="12" t="str">
        <f>'CLASSIFICA ORDINATA'!H15</f>
        <v/>
      </c>
      <c r="L16" s="12" t="str">
        <f>'CLASSIFICA ORDINATA'!I15</f>
        <v/>
      </c>
      <c r="M16" s="79" t="str">
        <f>'CLASSIFICA ORDINATA'!J15</f>
        <v/>
      </c>
      <c r="N16" s="12" t="str">
        <f>'CLASSIFICA ORDINATA'!K15</f>
        <v/>
      </c>
      <c r="O16" s="12" t="str">
        <f>'CLASSIFICA ORDINATA'!L15</f>
        <v/>
      </c>
      <c r="P16" s="12" t="str">
        <f>'CLASSIFICA ORDINATA'!M15</f>
        <v/>
      </c>
      <c r="Q16" s="79" t="str">
        <f>'CLASSIFICA ORDINATA'!N15</f>
        <v/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 t="str">
        <f>'CLASSIFICA ORDINATA'!W15</f>
        <v/>
      </c>
    </row>
    <row r="17" spans="1:16353" ht="20" customHeight="1" x14ac:dyDescent="0.2">
      <c r="A17" s="71">
        <v>12</v>
      </c>
      <c r="B17" s="67" t="str">
        <f>'CLASSIFICA ORDINATA'!B16</f>
        <v>Silentium884</v>
      </c>
      <c r="C17" s="67" t="str">
        <f>VLOOKUP(B17,nomi!B:C,2,FALSE)</f>
        <v>TLM_Sile</v>
      </c>
      <c r="D17" s="67" t="str">
        <f>VLOOKUP(B17,nomi!B:G,6,FALSE)</f>
        <v>TLM</v>
      </c>
      <c r="E17" s="67">
        <f>VLOOKUP(B17,nomi!B:I,8,FALSE)</f>
        <v>81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9" t="str">
        <f>'CLASSIFICA ORDINATA'!F16</f>
        <v/>
      </c>
      <c r="J17" s="12" t="str">
        <f>'CLASSIFICA ORDINATA'!G16</f>
        <v/>
      </c>
      <c r="K17" s="12" t="str">
        <f>'CLASSIFICA ORDINATA'!H16</f>
        <v/>
      </c>
      <c r="L17" s="12" t="str">
        <f>'CLASSIFICA ORDINATA'!I16</f>
        <v/>
      </c>
      <c r="M17" s="79" t="str">
        <f>'CLASSIFICA ORDINATA'!J16</f>
        <v/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9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 t="str">
        <f>'CLASSIFICA ORDINATA'!W16</f>
        <v/>
      </c>
    </row>
    <row r="18" spans="1:16353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</v>
      </c>
      <c r="D18" s="67" t="str">
        <f>VLOOKUP(B18,nomi!B:G,6,FALSE)</f>
        <v>TLM</v>
      </c>
      <c r="E18" s="67">
        <f>VLOOKUP(B18,nomi!B:I,8,FALSE)</f>
        <v>22</v>
      </c>
      <c r="F18" s="12" t="str">
        <f>'CLASSIFICA ORDINATA'!C17</f>
        <v/>
      </c>
      <c r="G18" s="12" t="str">
        <f>'CLASSIFICA ORDINATA'!D17</f>
        <v/>
      </c>
      <c r="H18" s="12" t="str">
        <f>'CLASSIFICA ORDINATA'!E17</f>
        <v/>
      </c>
      <c r="I18" s="79" t="str">
        <f>'CLASSIFICA ORDINATA'!F17</f>
        <v/>
      </c>
      <c r="J18" s="12" t="str">
        <f>'CLASSIFICA ORDINATA'!G17</f>
        <v/>
      </c>
      <c r="K18" s="12" t="str">
        <f>'CLASSIFICA ORDINATA'!H17</f>
        <v/>
      </c>
      <c r="L18" s="12" t="str">
        <f>'CLASSIFICA ORDINATA'!I17</f>
        <v/>
      </c>
      <c r="M18" s="79" t="str">
        <f>'CLASSIFICA ORDINATA'!J17</f>
        <v/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 t="str">
        <f>'CLASSIFICA ORDINATA'!W17</f>
        <v/>
      </c>
    </row>
    <row r="19" spans="1:16353" ht="20" customHeight="1" x14ac:dyDescent="0.2">
      <c r="A19" s="71">
        <v>14</v>
      </c>
      <c r="B19" s="67" t="str">
        <f>'CLASSIFICA ORDINATA'!B18</f>
        <v>Isnotacrime</v>
      </c>
      <c r="C19" s="67" t="str">
        <f>VLOOKUP(B19,nomi!B:C,2,FALSE)</f>
        <v xml:space="preserve">TLM isnotacrime </v>
      </c>
      <c r="D19" s="67" t="str">
        <f>VLOOKUP(B19,nomi!B:G,6,FALSE)</f>
        <v>TLM</v>
      </c>
      <c r="E19" s="67">
        <f>VLOOKUP(B19,nomi!B:I,8,FALSE)</f>
        <v>13</v>
      </c>
      <c r="F19" s="12" t="str">
        <f>'CLASSIFICA ORDINATA'!C18</f>
        <v/>
      </c>
      <c r="G19" s="12" t="str">
        <f>'CLASSIFICA ORDINATA'!D18</f>
        <v/>
      </c>
      <c r="H19" s="12" t="str">
        <f>'CLASSIFICA ORDINATA'!E18</f>
        <v/>
      </c>
      <c r="I19" s="79" t="str">
        <f>'CLASSIFICA ORDINATA'!F18</f>
        <v/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9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 t="str">
        <f>'CLASSIFICA ORDINATA'!W18</f>
        <v/>
      </c>
    </row>
    <row r="20" spans="1:16353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125">
        <f>VLOOKUP(B20,nomi!B:I,8,FALSE)</f>
        <v>33</v>
      </c>
      <c r="F20" s="12" t="str">
        <f>'CLASSIFICA ORDINATA'!C19</f>
        <v/>
      </c>
      <c r="G20" s="12" t="str">
        <f>'CLASSIFICA ORDINATA'!D19</f>
        <v/>
      </c>
      <c r="H20" s="12" t="str">
        <f>'CLASSIFICA ORDINATA'!E19</f>
        <v/>
      </c>
      <c r="I20" s="79" t="str">
        <f>'CLASSIFICA ORDINATA'!F19</f>
        <v/>
      </c>
      <c r="J20" s="12" t="str">
        <f>'CLASSIFICA ORDINATA'!G19</f>
        <v/>
      </c>
      <c r="K20" s="12" t="str">
        <f>'CLASSIFICA ORDINATA'!H19</f>
        <v/>
      </c>
      <c r="L20" s="12" t="str">
        <f>'CLASSIFICA ORDINATA'!I19</f>
        <v/>
      </c>
      <c r="M20" s="79" t="str">
        <f>'CLASSIFICA ORDINATA'!J19</f>
        <v/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 t="str">
        <f>'CLASSIFICA ORDINATA'!W19</f>
        <v/>
      </c>
    </row>
    <row r="21" spans="1:16353" ht="20" customHeight="1" x14ac:dyDescent="0.25">
      <c r="A21" s="71">
        <v>16</v>
      </c>
      <c r="B21" s="67" t="str">
        <f>'CLASSIFICA ORDINATA'!B20</f>
        <v>Liotru1979</v>
      </c>
      <c r="C21" s="67" t="str">
        <f>VLOOKUP(B21,nomi!B:C,2,FALSE)</f>
        <v xml:space="preserve">TLM Max </v>
      </c>
      <c r="D21" s="127" t="str">
        <f>VLOOKUP(B21,nomi!B:G,6,FALSE)</f>
        <v>TLM</v>
      </c>
      <c r="E21" s="130">
        <f>VLOOKUP(B21,nomi!B:I,8,FALSE)</f>
        <v>79</v>
      </c>
      <c r="F21" s="128" t="str">
        <f>'CLASSIFICA ORDINATA'!C20</f>
        <v/>
      </c>
      <c r="G21" s="12" t="str">
        <f>'CLASSIFICA ORDINATA'!D20</f>
        <v/>
      </c>
      <c r="H21" s="12" t="str">
        <f>'CLASSIFICA ORDINATA'!E20</f>
        <v/>
      </c>
      <c r="I21" s="79" t="str">
        <f>'CLASSIFICA ORDINATA'!F20</f>
        <v/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9" t="str">
        <f>'CLASSIFICA ORDINATA'!J20</f>
        <v/>
      </c>
      <c r="N21" s="12" t="str">
        <f>'CLASSIFICA ORDINATA'!K20</f>
        <v/>
      </c>
      <c r="O21" s="12" t="str">
        <f>'CLASSIFICA ORDINATA'!L20</f>
        <v/>
      </c>
      <c r="P21" s="12" t="str">
        <f>'CLASSIFICA ORDINATA'!M20</f>
        <v/>
      </c>
      <c r="Q21" s="79" t="str">
        <f>'CLASSIFICA ORDINATA'!N20</f>
        <v/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 t="str">
        <f>'CLASSIFICA ORDINATA'!W20</f>
        <v/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">
      <c r="A22" s="92" t="s">
        <v>30</v>
      </c>
      <c r="B22" s="110"/>
      <c r="C22" s="47"/>
      <c r="D22" s="47"/>
      <c r="E22" s="126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16353" ht="20" customHeight="1" x14ac:dyDescent="0.2">
      <c r="A23" s="68" t="s">
        <v>2</v>
      </c>
      <c r="B23" s="67" t="str">
        <f>'CLASSIFICA ORDINATA'!B22</f>
        <v>Chry-77</v>
      </c>
      <c r="C23" s="67" t="str">
        <f>VLOOKUP(B23,nomi!B:C,2,FALSE)</f>
        <v>TLM_Chry-77</v>
      </c>
      <c r="D23" s="127" t="str">
        <f>VLOOKUP(B23,nomi!B:G,6,FALSE)</f>
        <v>TLM</v>
      </c>
      <c r="E23" s="130">
        <f>VLOOKUP(B23,nomi!B:I,8,FALSE)</f>
        <v>77</v>
      </c>
      <c r="F23" s="128" t="str">
        <f>'CLASSIFICA ORDINATA'!C22</f>
        <v/>
      </c>
      <c r="G23" s="12" t="str">
        <f>'CLASSIFICA ORDINATA'!D22</f>
        <v/>
      </c>
      <c r="H23" s="12" t="str">
        <f>'CLASSIFICA ORDINATA'!E22</f>
        <v/>
      </c>
      <c r="I23" s="79" t="str">
        <f>'CLASSIFICA ORDINATA'!F22</f>
        <v/>
      </c>
      <c r="J23" s="12" t="str">
        <f>'CLASSIFICA ORDINATA'!G22</f>
        <v/>
      </c>
      <c r="K23" s="12" t="str">
        <f>'CLASSIFICA ORDINATA'!H22</f>
        <v/>
      </c>
      <c r="L23" s="12" t="str">
        <f>'CLASSIFICA ORDINATA'!I22</f>
        <v/>
      </c>
      <c r="M23" s="79" t="str">
        <f>'CLASSIFICA ORDINATA'!J22</f>
        <v/>
      </c>
      <c r="N23" s="12" t="str">
        <f>'CLASSIFICA ORDINATA'!K22</f>
        <v/>
      </c>
      <c r="O23" s="12" t="str">
        <f>'CLASSIFICA ORDINATA'!L22</f>
        <v/>
      </c>
      <c r="P23" s="12" t="str">
        <f>'CLASSIFICA ORDINATA'!M22</f>
        <v/>
      </c>
      <c r="Q23" s="79" t="str">
        <f>'CLASSIFICA ORDINATA'!N22</f>
        <v/>
      </c>
      <c r="R23" s="12" t="str">
        <f>'CLASSIFICA ORDINATA'!O22</f>
        <v/>
      </c>
      <c r="S23" s="12" t="str">
        <f>'CLASSIFICA ORDINATA'!P22</f>
        <v/>
      </c>
      <c r="T23" s="12" t="str">
        <f>'CLASSIFICA ORDINATA'!Q22</f>
        <v/>
      </c>
      <c r="U23" s="79" t="str">
        <f>'CLASSIFICA ORDINATA'!R22</f>
        <v/>
      </c>
      <c r="V23" s="12" t="str">
        <f>'CLASSIFICA ORDINATA'!S22</f>
        <v/>
      </c>
      <c r="W23" s="12" t="str">
        <f>'CLASSIFICA ORDINATA'!T22</f>
        <v/>
      </c>
      <c r="X23" s="12" t="str">
        <f>'CLASSIFICA ORDINATA'!U22</f>
        <v/>
      </c>
      <c r="Y23" s="79" t="str">
        <f>'CLASSIFICA ORDINATA'!V22</f>
        <v/>
      </c>
      <c r="Z23" s="80" t="str">
        <f>'CLASSIFICA ORDINATA'!W22</f>
        <v/>
      </c>
    </row>
    <row r="24" spans="1:16353" ht="20" customHeight="1" x14ac:dyDescent="0.2">
      <c r="A24" s="69" t="s">
        <v>3</v>
      </c>
      <c r="B24" s="67" t="str">
        <f>'CLASSIFICA ORDINATA'!B23</f>
        <v>mark126p</v>
      </c>
      <c r="C24" s="67" t="str">
        <f>VLOOKUP(B24,nomi!B:C,2,FALSE)</f>
        <v>Tlm mark126p</v>
      </c>
      <c r="D24" s="67" t="str">
        <f>VLOOKUP(B24,nomi!B:G,6,FALSE)</f>
        <v>TLM</v>
      </c>
      <c r="E24" s="77">
        <f>VLOOKUP(B24,nomi!B:I,8,FALSE)</f>
        <v>4</v>
      </c>
      <c r="F24" s="12" t="str">
        <f>'CLASSIFICA ORDINATA'!C23</f>
        <v/>
      </c>
      <c r="G24" s="12" t="str">
        <f>'CLASSIFICA ORDINATA'!D23</f>
        <v/>
      </c>
      <c r="H24" s="12" t="str">
        <f>'CLASSIFICA ORDINATA'!E23</f>
        <v/>
      </c>
      <c r="I24" s="79" t="str">
        <f>'CLASSIFICA ORDINATA'!F23</f>
        <v/>
      </c>
      <c r="J24" s="12" t="str">
        <f>'CLASSIFICA ORDINATA'!G23</f>
        <v/>
      </c>
      <c r="K24" s="12" t="str">
        <f>'CLASSIFICA ORDINATA'!H23</f>
        <v/>
      </c>
      <c r="L24" s="12" t="str">
        <f>'CLASSIFICA ORDINATA'!I23</f>
        <v/>
      </c>
      <c r="M24" s="79" t="str">
        <f>'CLASSIFICA ORDINATA'!J23</f>
        <v/>
      </c>
      <c r="N24" s="12" t="str">
        <f>'CLASSIFICA ORDINATA'!K23</f>
        <v/>
      </c>
      <c r="O24" s="12" t="str">
        <f>'CLASSIFICA ORDINATA'!L23</f>
        <v/>
      </c>
      <c r="P24" s="12" t="str">
        <f>'CLASSIFICA ORDINATA'!M23</f>
        <v/>
      </c>
      <c r="Q24" s="79" t="str">
        <f>'CLASSIFICA ORDINATA'!N23</f>
        <v/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 t="str">
        <f>'CLASSIFICA ORDINATA'!W23</f>
        <v/>
      </c>
    </row>
    <row r="25" spans="1:16353" ht="20" customHeight="1" x14ac:dyDescent="0.2">
      <c r="A25" s="70" t="s">
        <v>4</v>
      </c>
      <c r="B25" s="67" t="str">
        <f>'CLASSIFICA ORDINATA'!B24</f>
        <v>Parenji</v>
      </c>
      <c r="C25" s="67" t="str">
        <f>VLOOKUP(B25,nomi!B:C,2,FALSE)</f>
        <v>TLM_Parenti</v>
      </c>
      <c r="D25" s="125" t="str">
        <f>VLOOKUP(B25,nomi!B:G,6,FALSE)</f>
        <v>TLM</v>
      </c>
      <c r="E25" s="67">
        <f>VLOOKUP(B25,nomi!B:I,8,FALSE)</f>
        <v>8</v>
      </c>
      <c r="F25" s="12" t="str">
        <f>'CLASSIFICA ORDINATA'!C24</f>
        <v/>
      </c>
      <c r="G25" s="12" t="str">
        <f>'CLASSIFICA ORDINATA'!D24</f>
        <v/>
      </c>
      <c r="H25" s="12" t="str">
        <f>'CLASSIFICA ORDINATA'!E24</f>
        <v/>
      </c>
      <c r="I25" s="79" t="str">
        <f>'CLASSIFICA ORDINATA'!F24</f>
        <v/>
      </c>
      <c r="J25" s="12" t="str">
        <f>'CLASSIFICA ORDINATA'!G24</f>
        <v/>
      </c>
      <c r="K25" s="12" t="str">
        <f>'CLASSIFICA ORDINATA'!H24</f>
        <v/>
      </c>
      <c r="L25" s="12" t="str">
        <f>'CLASSIFICA ORDINATA'!I24</f>
        <v/>
      </c>
      <c r="M25" s="79" t="str">
        <f>'CLASSIFICA ORDINATA'!J24</f>
        <v/>
      </c>
      <c r="N25" s="12" t="str">
        <f>'CLASSIFICA ORDINATA'!K24</f>
        <v/>
      </c>
      <c r="O25" s="12" t="str">
        <f>'CLASSIFICA ORDINATA'!L24</f>
        <v/>
      </c>
      <c r="P25" s="12" t="str">
        <f>'CLASSIFICA ORDINATA'!M24</f>
        <v/>
      </c>
      <c r="Q25" s="79" t="str">
        <f>'CLASSIFICA ORDINATA'!N24</f>
        <v/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 t="str">
        <f>'CLASSIFICA ORDINATA'!W24</f>
        <v/>
      </c>
    </row>
    <row r="26" spans="1:16353" ht="20" customHeight="1" x14ac:dyDescent="0.2">
      <c r="A26" s="71" t="s">
        <v>5</v>
      </c>
      <c r="B26" s="67" t="str">
        <f>'CLASSIFICA ORDINATA'!B25</f>
        <v>Asseemazz</v>
      </c>
      <c r="C26" s="67" t="str">
        <f>VLOOKUP(B26,nomi!B:C,2,FALSE)</f>
        <v>TLM_GAMMA</v>
      </c>
      <c r="D26" s="129" t="str">
        <f>VLOOKUP(B26,nomi!B:G,6,FALSE)</f>
        <v>TLM</v>
      </c>
      <c r="E26" s="67">
        <f>VLOOKUP(B26,nomi!B:I,8,FALSE)</f>
        <v>33</v>
      </c>
      <c r="F26" s="12" t="str">
        <f>'CLASSIFICA ORDINATA'!C25</f>
        <v/>
      </c>
      <c r="G26" s="12" t="str">
        <f>'CLASSIFICA ORDINATA'!D25</f>
        <v/>
      </c>
      <c r="H26" s="12" t="str">
        <f>'CLASSIFICA ORDINATA'!E25</f>
        <v/>
      </c>
      <c r="I26" s="79" t="str">
        <f>'CLASSIFICA ORDINATA'!F25</f>
        <v/>
      </c>
      <c r="J26" s="12" t="str">
        <f>'CLASSIFICA ORDINATA'!G25</f>
        <v/>
      </c>
      <c r="K26" s="12" t="str">
        <f>'CLASSIFICA ORDINATA'!H25</f>
        <v/>
      </c>
      <c r="L26" s="12" t="str">
        <f>'CLASSIFICA ORDINATA'!I25</f>
        <v/>
      </c>
      <c r="M26" s="79" t="str">
        <f>'CLASSIFICA ORDINATA'!J25</f>
        <v/>
      </c>
      <c r="N26" s="12" t="str">
        <f>'CLASSIFICA ORDINATA'!K25</f>
        <v/>
      </c>
      <c r="O26" s="12" t="str">
        <f>'CLASSIFICA ORDINATA'!L25</f>
        <v/>
      </c>
      <c r="P26" s="12" t="str">
        <f>'CLASSIFICA ORDINATA'!M25</f>
        <v/>
      </c>
      <c r="Q26" s="79" t="str">
        <f>'CLASSIFICA ORDINATA'!N25</f>
        <v/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 t="str">
        <f>'CLASSIFICA ORDINATA'!W25</f>
        <v/>
      </c>
    </row>
    <row r="27" spans="1:16353" ht="20" customHeight="1" x14ac:dyDescent="0.2">
      <c r="A27" s="71" t="s">
        <v>6</v>
      </c>
      <c r="B27" s="67" t="str">
        <f>'CLASSIFICA ORDINATA'!B26</f>
        <v>Rupetheking</v>
      </c>
      <c r="C27" s="67" t="str">
        <f>VLOOKUP(B27,nomi!B:C,2,FALSE)</f>
        <v xml:space="preserve">Tlm-rupetheking </v>
      </c>
      <c r="D27" s="67" t="str">
        <f>VLOOKUP(B27,nomi!B:G,6,FALSE)</f>
        <v>TLM</v>
      </c>
      <c r="E27" s="67">
        <f>VLOOKUP(B27,nomi!B:I,8,FALSE)</f>
        <v>44</v>
      </c>
      <c r="F27" s="12" t="str">
        <f>'CLASSIFICA ORDINATA'!C26</f>
        <v/>
      </c>
      <c r="G27" s="12" t="str">
        <f>'CLASSIFICA ORDINATA'!D26</f>
        <v/>
      </c>
      <c r="H27" s="12" t="str">
        <f>'CLASSIFICA ORDINATA'!E26</f>
        <v/>
      </c>
      <c r="I27" s="79" t="str">
        <f>'CLASSIFICA ORDINATA'!F26</f>
        <v/>
      </c>
      <c r="J27" s="12" t="str">
        <f>'CLASSIFICA ORDINATA'!G26</f>
        <v/>
      </c>
      <c r="K27" s="12" t="str">
        <f>'CLASSIFICA ORDINATA'!H26</f>
        <v/>
      </c>
      <c r="L27" s="12" t="str">
        <f>'CLASSIFICA ORDINATA'!I26</f>
        <v/>
      </c>
      <c r="M27" s="79" t="str">
        <f>'CLASSIFICA ORDINATA'!J26</f>
        <v/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 t="str">
        <f>'CLASSIFICA ORDINATA'!W26</f>
        <v/>
      </c>
    </row>
    <row r="28" spans="1:16353" ht="20" customHeight="1" x14ac:dyDescent="0.2">
      <c r="A28" s="71" t="s">
        <v>7</v>
      </c>
      <c r="B28" s="67" t="str">
        <f>'CLASSIFICA ORDINATA'!B27</f>
        <v>TLM_Sicily22</v>
      </c>
      <c r="C28" s="67" t="str">
        <f>VLOOKUP(B28,nomi!B:C,2,FALSE)</f>
        <v>M.Di Bartolo</v>
      </c>
      <c r="D28" s="67" t="str">
        <f>VLOOKUP(B28,nomi!B:G,6,FALSE)</f>
        <v>TLM</v>
      </c>
      <c r="E28" s="67">
        <f>VLOOKUP(B28,nomi!B:I,8,FALSE)</f>
        <v>1</v>
      </c>
      <c r="F28" s="12" t="str">
        <f>'CLASSIFICA ORDINATA'!C27</f>
        <v/>
      </c>
      <c r="G28" s="12" t="str">
        <f>'CLASSIFICA ORDINATA'!D27</f>
        <v/>
      </c>
      <c r="H28" s="12" t="str">
        <f>'CLASSIFICA ORDINATA'!E27</f>
        <v/>
      </c>
      <c r="I28" s="79" t="str">
        <f>'CLASSIFICA ORDINATA'!F27</f>
        <v/>
      </c>
      <c r="J28" s="12" t="str">
        <f>'CLASSIFICA ORDINATA'!G27</f>
        <v/>
      </c>
      <c r="K28" s="12" t="str">
        <f>'CLASSIFICA ORDINATA'!H27</f>
        <v/>
      </c>
      <c r="L28" s="12" t="str">
        <f>'CLASSIFICA ORDINATA'!I27</f>
        <v/>
      </c>
      <c r="M28" s="79" t="str">
        <f>'CLASSIFICA ORDINATA'!J27</f>
        <v/>
      </c>
      <c r="N28" s="12" t="str">
        <f>'CLASSIFICA ORDINATA'!K27</f>
        <v/>
      </c>
      <c r="O28" s="12" t="str">
        <f>'CLASSIFICA ORDINATA'!L27</f>
        <v/>
      </c>
      <c r="P28" s="12" t="str">
        <f>'CLASSIFICA ORDINATA'!M27</f>
        <v/>
      </c>
      <c r="Q28" s="79" t="str">
        <f>'CLASSIFICA ORDINATA'!N27</f>
        <v/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 t="str">
        <f>'CLASSIFICA ORDINATA'!W27</f>
        <v/>
      </c>
    </row>
    <row r="29" spans="1:16353" ht="20" customHeight="1" x14ac:dyDescent="0.2">
      <c r="A29" s="71" t="s">
        <v>8</v>
      </c>
      <c r="B29" s="67" t="str">
        <f>'CLASSIFICA ORDINATA'!B28</f>
        <v>andvea_99</v>
      </c>
      <c r="C29" s="67" t="str">
        <f>VLOOKUP(B29,nomi!B:C,2,FALSE)</f>
        <v>TLM_andvea99</v>
      </c>
      <c r="D29" s="67" t="str">
        <f>VLOOKUP(B29,nomi!B:G,6,FALSE)</f>
        <v>TLM</v>
      </c>
      <c r="E29" s="67">
        <f>VLOOKUP(B29,nomi!B:I,8,FALSE)</f>
        <v>99</v>
      </c>
      <c r="F29" s="12" t="str">
        <f>'CLASSIFICA ORDINATA'!C28</f>
        <v/>
      </c>
      <c r="G29" s="12" t="str">
        <f>'CLASSIFICA ORDINATA'!D28</f>
        <v/>
      </c>
      <c r="H29" s="12" t="str">
        <f>'CLASSIFICA ORDINATA'!E28</f>
        <v/>
      </c>
      <c r="I29" s="79" t="str">
        <f>'CLASSIFICA ORDINATA'!F28</f>
        <v/>
      </c>
      <c r="J29" s="12" t="str">
        <f>'CLASSIFICA ORDINATA'!G28</f>
        <v/>
      </c>
      <c r="K29" s="12" t="str">
        <f>'CLASSIFICA ORDINATA'!H28</f>
        <v/>
      </c>
      <c r="L29" s="12" t="str">
        <f>'CLASSIFICA ORDINATA'!I28</f>
        <v/>
      </c>
      <c r="M29" s="79" t="str">
        <f>'CLASSIFICA ORDINATA'!J28</f>
        <v/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 t="str">
        <f>'CLASSIFICA ORDINATA'!W28</f>
        <v/>
      </c>
    </row>
    <row r="30" spans="1:16353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67">
        <f>VLOOKUP(B30,nomi!B:I,8,FALSE)</f>
        <v>29</v>
      </c>
      <c r="F30" s="12" t="str">
        <f>'CLASSIFICA ORDINATA'!C29</f>
        <v/>
      </c>
      <c r="G30" s="12" t="str">
        <f>'CLASSIFICA ORDINATA'!D29</f>
        <v/>
      </c>
      <c r="H30" s="12" t="str">
        <f>'CLASSIFICA ORDINATA'!E29</f>
        <v/>
      </c>
      <c r="I30" s="79" t="str">
        <f>'CLASSIFICA ORDINATA'!F29</f>
        <v/>
      </c>
      <c r="J30" s="12" t="str">
        <f>'CLASSIFICA ORDINATA'!G29</f>
        <v/>
      </c>
      <c r="K30" s="12" t="str">
        <f>'CLASSIFICA ORDINATA'!H29</f>
        <v/>
      </c>
      <c r="L30" s="12" t="str">
        <f>'CLASSIFICA ORDINATA'!I29</f>
        <v/>
      </c>
      <c r="M30" s="79" t="str">
        <f>'CLASSIFICA ORDINATA'!J29</f>
        <v/>
      </c>
      <c r="N30" s="12" t="str">
        <f>'CLASSIFICA ORDINATA'!K29</f>
        <v/>
      </c>
      <c r="O30" s="12" t="str">
        <f>'CLASSIFICA ORDINATA'!L29</f>
        <v/>
      </c>
      <c r="P30" s="12" t="str">
        <f>'CLASSIFICA ORDINATA'!M29</f>
        <v/>
      </c>
      <c r="Q30" s="79" t="str">
        <f>'CLASSIFICA ORDINATA'!N29</f>
        <v/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 t="str">
        <f>'CLASSIFICA ORDINATA'!W29</f>
        <v/>
      </c>
    </row>
    <row r="31" spans="1:16353" ht="20" customHeight="1" x14ac:dyDescent="0.2">
      <c r="A31" s="71" t="s">
        <v>10</v>
      </c>
      <c r="B31" s="67" t="str">
        <f>'CLASSIFICA ORDINATA'!B30</f>
        <v>TLM_michaelFox12</v>
      </c>
      <c r="C31" s="67" t="str">
        <f>VLOOKUP(B31,nomi!B:C,2,FALSE)</f>
        <v>TLM_michaelfox12</v>
      </c>
      <c r="D31" s="67" t="str">
        <f>VLOOKUP(B31,nomi!B:G,6,FALSE)</f>
        <v>TLM</v>
      </c>
      <c r="E31" s="67">
        <f>VLOOKUP(B31,nomi!B:I,8,FALSE)</f>
        <v>12</v>
      </c>
      <c r="F31" s="12" t="str">
        <f>'CLASSIFICA ORDINATA'!C30</f>
        <v/>
      </c>
      <c r="G31" s="12" t="str">
        <f>'CLASSIFICA ORDINATA'!D30</f>
        <v/>
      </c>
      <c r="H31" s="12" t="str">
        <f>'CLASSIFICA ORDINATA'!E30</f>
        <v/>
      </c>
      <c r="I31" s="79" t="str">
        <f>'CLASSIFICA ORDINATA'!F30</f>
        <v/>
      </c>
      <c r="J31" s="12" t="str">
        <f>'CLASSIFICA ORDINATA'!G30</f>
        <v/>
      </c>
      <c r="K31" s="12" t="str">
        <f>'CLASSIFICA ORDINATA'!H30</f>
        <v/>
      </c>
      <c r="L31" s="12" t="str">
        <f>'CLASSIFICA ORDINATA'!I30</f>
        <v/>
      </c>
      <c r="M31" s="79" t="str">
        <f>'CLASSIFICA ORDINATA'!J30</f>
        <v/>
      </c>
      <c r="N31" s="12" t="str">
        <f>'CLASSIFICA ORDINATA'!K30</f>
        <v/>
      </c>
      <c r="O31" s="12" t="str">
        <f>'CLASSIFICA ORDINATA'!L30</f>
        <v/>
      </c>
      <c r="P31" s="12" t="str">
        <f>'CLASSIFICA ORDINATA'!M30</f>
        <v/>
      </c>
      <c r="Q31" s="79" t="str">
        <f>'CLASSIFICA ORDINATA'!N30</f>
        <v/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 t="str">
        <f>'CLASSIFICA ORDINATA'!W30</f>
        <v/>
      </c>
    </row>
    <row r="32" spans="1:16353" ht="20" customHeight="1" x14ac:dyDescent="0.2">
      <c r="A32" s="71" t="s">
        <v>11</v>
      </c>
      <c r="B32" s="67" t="str">
        <f>'CLASSIFICA ORDINATA'!B31</f>
        <v>Tonyroto74</v>
      </c>
      <c r="C32" s="67" t="str">
        <f>VLOOKUP(B32,nomi!B:C,2,FALSE)</f>
        <v>Tonyroto</v>
      </c>
      <c r="D32" s="67" t="str">
        <f>VLOOKUP(B32,nomi!B:G,6,FALSE)</f>
        <v>TLM</v>
      </c>
      <c r="E32" s="67">
        <f>VLOOKUP(B32,nomi!B:I,8,FALSE)</f>
        <v>74</v>
      </c>
      <c r="F32" s="12" t="str">
        <f>'CLASSIFICA ORDINATA'!C31</f>
        <v/>
      </c>
      <c r="G32" s="12" t="str">
        <f>'CLASSIFICA ORDINATA'!D31</f>
        <v/>
      </c>
      <c r="H32" s="12" t="str">
        <f>'CLASSIFICA ORDINATA'!E31</f>
        <v/>
      </c>
      <c r="I32" s="79" t="str">
        <f>'CLASSIFICA ORDINATA'!F31</f>
        <v/>
      </c>
      <c r="J32" s="12" t="str">
        <f>'CLASSIFICA ORDINATA'!G31</f>
        <v/>
      </c>
      <c r="K32" s="12" t="str">
        <f>'CLASSIFICA ORDINATA'!H31</f>
        <v/>
      </c>
      <c r="L32" s="12" t="str">
        <f>'CLASSIFICA ORDINATA'!I31</f>
        <v/>
      </c>
      <c r="M32" s="79" t="str">
        <f>'CLASSIFICA ORDINATA'!J31</f>
        <v/>
      </c>
      <c r="N32" s="12" t="str">
        <f>'CLASSIFICA ORDINATA'!K31</f>
        <v/>
      </c>
      <c r="O32" s="12" t="str">
        <f>'CLASSIFICA ORDINATA'!L31</f>
        <v/>
      </c>
      <c r="P32" s="12" t="str">
        <f>'CLASSIFICA ORDINATA'!M31</f>
        <v/>
      </c>
      <c r="Q32" s="79" t="str">
        <f>'CLASSIFICA ORDINATA'!N31</f>
        <v/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 t="str">
        <f>'CLASSIFICA ORDINATA'!W31</f>
        <v/>
      </c>
    </row>
    <row r="33" spans="1:26" ht="20" customHeight="1" x14ac:dyDescent="0.2">
      <c r="A33" s="71" t="s">
        <v>12</v>
      </c>
      <c r="B33" s="67" t="str">
        <f>'CLASSIFICA ORDINATA'!B32</f>
        <v>TLM_dimaa66</v>
      </c>
      <c r="C33" s="67" t="str">
        <f>VLOOKUP(B33,nomi!B:C,2,FALSE)</f>
        <v>TLM_Dimaaa_66</v>
      </c>
      <c r="D33" s="67" t="str">
        <f>VLOOKUP(B33,nomi!B:G,6,FALSE)</f>
        <v>TLM</v>
      </c>
      <c r="E33" s="67">
        <f>VLOOKUP(B33,nomi!B:I,8,FALSE)</f>
        <v>66</v>
      </c>
      <c r="F33" s="12" t="str">
        <f>'CLASSIFICA ORDINATA'!C32</f>
        <v/>
      </c>
      <c r="G33" s="12" t="str">
        <f>'CLASSIFICA ORDINATA'!D32</f>
        <v/>
      </c>
      <c r="H33" s="12" t="str">
        <f>'CLASSIFICA ORDINATA'!E32</f>
        <v/>
      </c>
      <c r="I33" s="79" t="str">
        <f>'CLASSIFICA ORDINATA'!F32</f>
        <v/>
      </c>
      <c r="J33" s="12" t="str">
        <f>'CLASSIFICA ORDINATA'!G32</f>
        <v/>
      </c>
      <c r="K33" s="12" t="str">
        <f>'CLASSIFICA ORDINATA'!H32</f>
        <v/>
      </c>
      <c r="L33" s="12" t="str">
        <f>'CLASSIFICA ORDINATA'!I32</f>
        <v/>
      </c>
      <c r="M33" s="79" t="str">
        <f>'CLASSIFICA ORDINATA'!J32</f>
        <v/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 t="str">
        <f>'CLASSIFICA ORDINATA'!W32</f>
        <v/>
      </c>
    </row>
    <row r="34" spans="1:26" ht="20" customHeight="1" x14ac:dyDescent="0.2">
      <c r="A34" s="71" t="s">
        <v>13</v>
      </c>
      <c r="B34" s="67" t="str">
        <f>'CLASSIFICA ORDINATA'!B33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67">
        <f>VLOOKUP(B34,nomi!B:I,8,FALSE)</f>
        <v>25</v>
      </c>
      <c r="F34" s="12" t="str">
        <f>'CLASSIFICA ORDINATA'!C33</f>
        <v/>
      </c>
      <c r="G34" s="12" t="str">
        <f>'CLASSIFICA ORDINATA'!D33</f>
        <v/>
      </c>
      <c r="H34" s="12" t="str">
        <f>'CLASSIFICA ORDINATA'!E33</f>
        <v/>
      </c>
      <c r="I34" s="79" t="str">
        <f>'CLASSIFICA ORDINATA'!F33</f>
        <v/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9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 t="str">
        <f>'CLASSIFICA ORDINATA'!W33</f>
        <v/>
      </c>
    </row>
    <row r="35" spans="1:26" ht="20" customHeight="1" x14ac:dyDescent="0.2">
      <c r="A35" s="71">
        <v>13</v>
      </c>
      <c r="B35" s="67" t="str">
        <f>'CLASSIFICA ORDINATA'!B34</f>
        <v>Ulix1990</v>
      </c>
      <c r="C35" s="67" t="str">
        <f>VLOOKUP(B35,nomi!B:C,2,FALSE)</f>
        <v>TLM_Ulix1990</v>
      </c>
      <c r="D35" s="67" t="str">
        <f>VLOOKUP(B35,nomi!B:G,6,FALSE)</f>
        <v>TLM</v>
      </c>
      <c r="E35" s="67">
        <f>VLOOKUP(B35,nomi!B:I,8,FALSE)</f>
        <v>22</v>
      </c>
      <c r="F35" s="12" t="str">
        <f>'CLASSIFICA ORDINATA'!C34</f>
        <v/>
      </c>
      <c r="G35" s="12" t="str">
        <f>'CLASSIFICA ORDINATA'!D34</f>
        <v/>
      </c>
      <c r="H35" s="12" t="str">
        <f>'CLASSIFICA ORDINATA'!E34</f>
        <v/>
      </c>
      <c r="I35" s="79" t="str">
        <f>'CLASSIFICA ORDINATA'!F34</f>
        <v/>
      </c>
      <c r="J35" s="12" t="str">
        <f>'CLASSIFICA ORDINATA'!G34</f>
        <v/>
      </c>
      <c r="K35" s="12" t="str">
        <f>'CLASSIFICA ORDINATA'!H34</f>
        <v/>
      </c>
      <c r="L35" s="12" t="str">
        <f>'CLASSIFICA ORDINATA'!I34</f>
        <v/>
      </c>
      <c r="M35" s="79" t="str">
        <f>'CLASSIFICA ORDINATA'!J34</f>
        <v/>
      </c>
      <c r="N35" s="12" t="str">
        <f>'CLASSIFICA ORDINATA'!K34</f>
        <v/>
      </c>
      <c r="O35" s="12" t="str">
        <f>'CLASSIFICA ORDINATA'!L34</f>
        <v/>
      </c>
      <c r="P35" s="12" t="str">
        <f>'CLASSIFICA ORDINATA'!M34</f>
        <v/>
      </c>
      <c r="Q35" s="79" t="str">
        <f>'CLASSIFICA ORDINATA'!N34</f>
        <v/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 t="str">
        <f>'CLASSIFICA ORDINATA'!W34</f>
        <v/>
      </c>
    </row>
    <row r="36" spans="1:26" ht="20" customHeight="1" x14ac:dyDescent="0.2">
      <c r="A36" s="71">
        <v>14</v>
      </c>
      <c r="B36" s="67" t="str">
        <f>'CLASSIFICA ORDINATA'!B35</f>
        <v>CTR_ocior-78</v>
      </c>
      <c r="C36" s="67" t="str">
        <f>VLOOKUP(B36,nomi!B:C,2,FALSE)</f>
        <v>TLM-Ocior78</v>
      </c>
      <c r="D36" s="67" t="str">
        <f>VLOOKUP(B36,nomi!B:G,6,FALSE)</f>
        <v>TLM</v>
      </c>
      <c r="E36" s="67">
        <f>VLOOKUP(B36,nomi!B:I,8,FALSE)</f>
        <v>104</v>
      </c>
      <c r="F36" s="12" t="str">
        <f>'CLASSIFICA ORDINATA'!C35</f>
        <v/>
      </c>
      <c r="G36" s="12" t="str">
        <f>'CLASSIFICA ORDINATA'!D35</f>
        <v/>
      </c>
      <c r="H36" s="12" t="str">
        <f>'CLASSIFICA ORDINATA'!E35</f>
        <v/>
      </c>
      <c r="I36" s="79" t="str">
        <f>'CLASSIFICA ORDINATA'!F35</f>
        <v/>
      </c>
      <c r="J36" s="12" t="str">
        <f>'CLASSIFICA ORDINATA'!G35</f>
        <v/>
      </c>
      <c r="K36" s="12" t="str">
        <f>'CLASSIFICA ORDINATA'!H35</f>
        <v/>
      </c>
      <c r="L36" s="12" t="str">
        <f>'CLASSIFICA ORDINATA'!I35</f>
        <v/>
      </c>
      <c r="M36" s="79" t="str">
        <f>'CLASSIFICA ORDINATA'!J35</f>
        <v/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 t="str">
        <f>'CLASSIFICA ORDINATA'!W35</f>
        <v/>
      </c>
    </row>
    <row r="37" spans="1:26" ht="20" customHeight="1" x14ac:dyDescent="0.2">
      <c r="A37" s="71" t="s">
        <v>20</v>
      </c>
      <c r="B37" s="67" t="str">
        <f>'CLASSIFICA ORDINATA'!B36</f>
        <v>TLM_SKIZZO 34</v>
      </c>
      <c r="C37" s="67" t="str">
        <f>VLOOKUP(B37,nomi!B:C,2,FALSE)</f>
        <v>TLM_SKIZZO 34</v>
      </c>
      <c r="D37" s="67" t="str">
        <f>VLOOKUP(B37,nomi!B:G,6,FALSE)</f>
        <v>TLM</v>
      </c>
      <c r="E37" s="67">
        <f>VLOOKUP(B37,nomi!B:I,8,FALSE)</f>
        <v>34</v>
      </c>
      <c r="F37" s="12" t="str">
        <f>'CLASSIFICA ORDINATA'!C36</f>
        <v/>
      </c>
      <c r="G37" s="12" t="str">
        <f>'CLASSIFICA ORDINATA'!D36</f>
        <v/>
      </c>
      <c r="H37" s="12" t="str">
        <f>'CLASSIFICA ORDINATA'!E36</f>
        <v/>
      </c>
      <c r="I37" s="79" t="str">
        <f>'CLASSIFICA ORDINATA'!F36</f>
        <v/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9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 t="str">
        <f>'CLASSIFICA ORDINATA'!W36</f>
        <v/>
      </c>
    </row>
    <row r="38" spans="1:26" ht="20" customHeight="1" x14ac:dyDescent="0.2">
      <c r="A38" s="71" t="s">
        <v>21</v>
      </c>
      <c r="B38" s="67" t="str">
        <f>'CLASSIFICA ORDINATA'!B37</f>
        <v>Mikedb__91__</v>
      </c>
      <c r="C38" s="67" t="str">
        <f>VLOOKUP(B38,nomi!B:C,2,FALSE)</f>
        <v>TLM-Mike91</v>
      </c>
      <c r="D38" s="67" t="str">
        <f>VLOOKUP(B38,nomi!B:G,6,FALSE)</f>
        <v>TLM</v>
      </c>
      <c r="E38" s="67">
        <f>VLOOKUP(B38,nomi!B:I,8,FALSE)</f>
        <v>3</v>
      </c>
      <c r="F38" s="12" t="str">
        <f>'CLASSIFICA ORDINATA'!C37</f>
        <v/>
      </c>
      <c r="G38" s="12" t="str">
        <f>'CLASSIFICA ORDINATA'!D37</f>
        <v/>
      </c>
      <c r="H38" s="12" t="str">
        <f>'CLASSIFICA ORDINATA'!E37</f>
        <v/>
      </c>
      <c r="I38" s="79" t="str">
        <f>'CLASSIFICA ORDINATA'!F37</f>
        <v/>
      </c>
      <c r="J38" s="12" t="str">
        <f>'CLASSIFICA ORDINATA'!G37</f>
        <v/>
      </c>
      <c r="K38" s="12" t="str">
        <f>'CLASSIFICA ORDINATA'!H37</f>
        <v/>
      </c>
      <c r="L38" s="12" t="str">
        <f>'CLASSIFICA ORDINATA'!I37</f>
        <v/>
      </c>
      <c r="M38" s="79" t="str">
        <f>'CLASSIFICA ORDINATA'!J37</f>
        <v/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 t="str">
        <f>'CLASSIFICA ORDINATA'!W37</f>
        <v/>
      </c>
    </row>
    <row r="39" spans="1:26" ht="20" customHeight="1" x14ac:dyDescent="0.2">
      <c r="A39" s="37"/>
      <c r="B39" s="38"/>
      <c r="C39" s="38"/>
      <c r="D39" s="38"/>
      <c r="E39" s="38"/>
    </row>
    <row r="40" spans="1:26" ht="20" customHeight="1" x14ac:dyDescent="0.2">
      <c r="A40" s="99" t="s">
        <v>38</v>
      </c>
      <c r="B40" s="105"/>
      <c r="C40" s="100"/>
      <c r="D40" s="54"/>
      <c r="F40" s="96" t="s">
        <v>411</v>
      </c>
      <c r="G40" s="97"/>
      <c r="H40" s="97"/>
      <c r="I40" s="98"/>
      <c r="J40" s="96" t="s">
        <v>412</v>
      </c>
      <c r="K40" s="97"/>
      <c r="L40" s="97"/>
      <c r="M40" s="98"/>
      <c r="N40" s="96" t="s">
        <v>413</v>
      </c>
      <c r="O40" s="97"/>
      <c r="P40" s="97"/>
      <c r="Q40" s="98"/>
      <c r="R40" s="96" t="s">
        <v>414</v>
      </c>
      <c r="S40" s="97"/>
      <c r="T40" s="97"/>
      <c r="U40" s="98"/>
      <c r="V40" s="96" t="s">
        <v>415</v>
      </c>
      <c r="W40" s="97"/>
      <c r="X40" s="97"/>
      <c r="Y40" s="98"/>
      <c r="Z40" s="108" t="s">
        <v>33</v>
      </c>
    </row>
    <row r="41" spans="1:26" ht="20" customHeight="1" x14ac:dyDescent="0.2">
      <c r="A41" s="50" t="s">
        <v>19</v>
      </c>
      <c r="B41" s="50" t="s">
        <v>14</v>
      </c>
      <c r="C41" s="50" t="s">
        <v>363</v>
      </c>
      <c r="D41" s="50"/>
      <c r="F41" s="21" t="s">
        <v>17</v>
      </c>
      <c r="G41" s="22" t="s">
        <v>1</v>
      </c>
      <c r="H41" s="23" t="s">
        <v>18</v>
      </c>
      <c r="I41" s="41" t="s">
        <v>34</v>
      </c>
      <c r="J41" s="21" t="s">
        <v>17</v>
      </c>
      <c r="K41" s="22" t="s">
        <v>1</v>
      </c>
      <c r="L41" s="23" t="s">
        <v>18</v>
      </c>
      <c r="M41" s="41" t="s">
        <v>34</v>
      </c>
      <c r="N41" s="21" t="s">
        <v>17</v>
      </c>
      <c r="O41" s="22" t="s">
        <v>1</v>
      </c>
      <c r="P41" s="23" t="s">
        <v>18</v>
      </c>
      <c r="Q41" s="41" t="s">
        <v>34</v>
      </c>
      <c r="R41" s="21" t="s">
        <v>17</v>
      </c>
      <c r="S41" s="22" t="s">
        <v>1</v>
      </c>
      <c r="T41" s="23" t="s">
        <v>18</v>
      </c>
      <c r="U41" s="41" t="s">
        <v>34</v>
      </c>
      <c r="V41" s="21" t="s">
        <v>17</v>
      </c>
      <c r="W41" s="22" t="s">
        <v>1</v>
      </c>
      <c r="X41" s="23" t="s">
        <v>18</v>
      </c>
      <c r="Y41" s="41" t="s">
        <v>34</v>
      </c>
      <c r="Z41" s="109"/>
    </row>
    <row r="42" spans="1:26" ht="20" customHeight="1" x14ac:dyDescent="0.25">
      <c r="A42" s="72">
        <v>1</v>
      </c>
      <c r="B42" s="58" t="str">
        <f>'CLASSIFICA ORDINATA'!B68</f>
        <v>TLM_dimaa66</v>
      </c>
      <c r="C42" s="59" t="str">
        <f>VLOOKUP(B42,nomi!B:C,2,FALSE)</f>
        <v>TLM_Dimaaa_66</v>
      </c>
      <c r="D42" s="59" t="str">
        <f>VLOOKUP(B42,nomi!B:G,6,FALSE)</f>
        <v>TLM</v>
      </c>
      <c r="F42" s="12" t="str">
        <f>'CLASSIFICA ORDINATA'!C68</f>
        <v/>
      </c>
      <c r="G42" s="12" t="str">
        <f>'CLASSIFICA ORDINATA'!D68</f>
        <v/>
      </c>
      <c r="H42" s="12" t="str">
        <f>'CLASSIFICA ORDINATA'!E68</f>
        <v/>
      </c>
      <c r="I42" s="79" t="str">
        <f>'CLASSIFICA ORDINATA'!F68</f>
        <v/>
      </c>
      <c r="J42" s="12" t="str">
        <f>'CLASSIFICA ORDINATA'!G68</f>
        <v/>
      </c>
      <c r="K42" s="12" t="str">
        <f>'CLASSIFICA ORDINATA'!H68</f>
        <v/>
      </c>
      <c r="L42" s="12" t="str">
        <f>'CLASSIFICA ORDINATA'!I68</f>
        <v/>
      </c>
      <c r="M42" s="79" t="str">
        <f>'CLASSIFICA ORDINATA'!J68</f>
        <v/>
      </c>
      <c r="N42" s="12" t="str">
        <f>'CLASSIFICA ORDINATA'!K68</f>
        <v/>
      </c>
      <c r="O42" s="12" t="str">
        <f>'CLASSIFICA ORDINATA'!L68</f>
        <v/>
      </c>
      <c r="P42" s="12" t="str">
        <f>'CLASSIFICA ORDINATA'!M68</f>
        <v/>
      </c>
      <c r="Q42" s="79" t="str">
        <f>'CLASSIFICA ORDINATA'!N68</f>
        <v/>
      </c>
      <c r="R42" s="12" t="str">
        <f>'CLASSIFICA ORDINATA'!O68</f>
        <v/>
      </c>
      <c r="S42" s="12" t="str">
        <f>'CLASSIFICA ORDINATA'!P68</f>
        <v/>
      </c>
      <c r="T42" s="12" t="str">
        <f>'CLASSIFICA ORDINATA'!Q68</f>
        <v/>
      </c>
      <c r="U42" s="79" t="str">
        <f>'CLASSIFICA ORDINATA'!R68</f>
        <v/>
      </c>
      <c r="V42" s="12" t="str">
        <f>'CLASSIFICA ORDINATA'!S68</f>
        <v/>
      </c>
      <c r="W42" s="12" t="str">
        <f>'CLASSIFICA ORDINATA'!T68</f>
        <v/>
      </c>
      <c r="X42" s="12" t="str">
        <f>'CLASSIFICA ORDINATA'!U68</f>
        <v/>
      </c>
      <c r="Y42" s="79" t="str">
        <f>'CLASSIFICA ORDINATA'!V68</f>
        <v/>
      </c>
      <c r="Z42" s="80">
        <f>'CLASSIFICA ORDINATA'!AA68</f>
        <v>0</v>
      </c>
    </row>
    <row r="43" spans="1:26" ht="20" customHeight="1" x14ac:dyDescent="0.25">
      <c r="A43" s="72">
        <v>2</v>
      </c>
      <c r="B43" s="58" t="str">
        <f>'CLASSIFICA ORDINATA'!B69</f>
        <v>Verce90</v>
      </c>
      <c r="C43" s="59" t="str">
        <f>VLOOKUP(B43,nomi!B:C,2,FALSE)</f>
        <v>TLM Verce90</v>
      </c>
      <c r="D43" s="59" t="str">
        <f>VLOOKUP(B43,nomi!B:G,6,FALSE)</f>
        <v>TLM</v>
      </c>
      <c r="F43" s="12" t="str">
        <f>'CLASSIFICA ORDINATA'!C69</f>
        <v/>
      </c>
      <c r="G43" s="12" t="str">
        <f>'CLASSIFICA ORDINATA'!D69</f>
        <v/>
      </c>
      <c r="H43" s="12" t="str">
        <f>'CLASSIFICA ORDINATA'!E69</f>
        <v/>
      </c>
      <c r="I43" s="79" t="str">
        <f>'CLASSIFICA ORDINATA'!F69</f>
        <v/>
      </c>
      <c r="J43" s="12" t="str">
        <f>'CLASSIFICA ORDINATA'!G69</f>
        <v/>
      </c>
      <c r="K43" s="12" t="str">
        <f>'CLASSIFICA ORDINATA'!H69</f>
        <v/>
      </c>
      <c r="L43" s="12" t="str">
        <f>'CLASSIFICA ORDINATA'!I69</f>
        <v/>
      </c>
      <c r="M43" s="79" t="str">
        <f>'CLASSIFICA ORDINATA'!J69</f>
        <v/>
      </c>
      <c r="N43" s="12" t="str">
        <f>'CLASSIFICA ORDINATA'!K69</f>
        <v/>
      </c>
      <c r="O43" s="12" t="str">
        <f>'CLASSIFICA ORDINATA'!L69</f>
        <v/>
      </c>
      <c r="P43" s="12" t="str">
        <f>'CLASSIFICA ORDINATA'!M69</f>
        <v/>
      </c>
      <c r="Q43" s="79" t="str">
        <f>'CLASSIFICA ORDINATA'!N69</f>
        <v/>
      </c>
      <c r="R43" s="12" t="str">
        <f>'CLASSIFICA ORDINATA'!O69</f>
        <v/>
      </c>
      <c r="S43" s="12" t="str">
        <f>'CLASSIFICA ORDINATA'!P69</f>
        <v/>
      </c>
      <c r="T43" s="12" t="str">
        <f>'CLASSIFICA ORDINATA'!Q69</f>
        <v/>
      </c>
      <c r="U43" s="79" t="str">
        <f>'CLASSIFICA ORDINATA'!R69</f>
        <v/>
      </c>
      <c r="V43" s="12" t="str">
        <f>'CLASSIFICA ORDINATA'!S69</f>
        <v/>
      </c>
      <c r="W43" s="12" t="str">
        <f>'CLASSIFICA ORDINATA'!T69</f>
        <v/>
      </c>
      <c r="X43" s="12" t="str">
        <f>'CLASSIFICA ORDINATA'!U69</f>
        <v/>
      </c>
      <c r="Y43" s="79" t="str">
        <f>'CLASSIFICA ORDINATA'!V69</f>
        <v/>
      </c>
      <c r="Z43" s="80">
        <f>'CLASSIFICA ORDINATA'!AA69</f>
        <v>0</v>
      </c>
    </row>
    <row r="44" spans="1:26" ht="20" customHeight="1" x14ac:dyDescent="0.25">
      <c r="A44" s="72">
        <v>3</v>
      </c>
      <c r="B44" s="58" t="str">
        <f>'CLASSIFICA ORDINATA'!B70</f>
        <v>Ulix1990</v>
      </c>
      <c r="C44" s="59" t="str">
        <f>VLOOKUP(B44,nomi!B:C,2,FALSE)</f>
        <v>TLM_Ulix1990</v>
      </c>
      <c r="D44" s="59" t="str">
        <f>VLOOKUP(B44,nomi!B:G,6,FALSE)</f>
        <v>TLM</v>
      </c>
      <c r="F44" s="12" t="str">
        <f>'CLASSIFICA ORDINATA'!C70</f>
        <v/>
      </c>
      <c r="G44" s="12" t="str">
        <f>'CLASSIFICA ORDINATA'!D70</f>
        <v/>
      </c>
      <c r="H44" s="12" t="str">
        <f>'CLASSIFICA ORDINATA'!E70</f>
        <v/>
      </c>
      <c r="I44" s="79" t="str">
        <f>'CLASSIFICA ORDINATA'!F70</f>
        <v/>
      </c>
      <c r="J44" s="12" t="str">
        <f>'CLASSIFICA ORDINATA'!G70</f>
        <v/>
      </c>
      <c r="K44" s="12" t="str">
        <f>'CLASSIFICA ORDINATA'!H70</f>
        <v/>
      </c>
      <c r="L44" s="12" t="str">
        <f>'CLASSIFICA ORDINATA'!I70</f>
        <v/>
      </c>
      <c r="M44" s="79" t="str">
        <f>'CLASSIFICA ORDINATA'!J70</f>
        <v/>
      </c>
      <c r="N44" s="12" t="str">
        <f>'CLASSIFICA ORDINATA'!K70</f>
        <v/>
      </c>
      <c r="O44" s="12" t="str">
        <f>'CLASSIFICA ORDINATA'!L70</f>
        <v/>
      </c>
      <c r="P44" s="12" t="str">
        <f>'CLASSIFICA ORDINATA'!M70</f>
        <v/>
      </c>
      <c r="Q44" s="79" t="str">
        <f>'CLASSIFICA ORDINATA'!N70</f>
        <v/>
      </c>
      <c r="R44" s="12" t="str">
        <f>'CLASSIFICA ORDINATA'!O70</f>
        <v/>
      </c>
      <c r="S44" s="12" t="str">
        <f>'CLASSIFICA ORDINATA'!P70</f>
        <v/>
      </c>
      <c r="T44" s="12" t="str">
        <f>'CLASSIFICA ORDINATA'!Q70</f>
        <v/>
      </c>
      <c r="U44" s="79" t="str">
        <f>'CLASSIFICA ORDINATA'!R70</f>
        <v/>
      </c>
      <c r="V44" s="12" t="str">
        <f>'CLASSIFICA ORDINATA'!S70</f>
        <v/>
      </c>
      <c r="W44" s="12" t="str">
        <f>'CLASSIFICA ORDINATA'!T70</f>
        <v/>
      </c>
      <c r="X44" s="12" t="str">
        <f>'CLASSIFICA ORDINATA'!U70</f>
        <v/>
      </c>
      <c r="Y44" s="79" t="str">
        <f>'CLASSIFICA ORDINATA'!V70</f>
        <v/>
      </c>
      <c r="Z44" s="80">
        <f>'CLASSIFICA ORDINATA'!AA70</f>
        <v>0</v>
      </c>
    </row>
    <row r="45" spans="1:26" ht="20" customHeight="1" x14ac:dyDescent="0.25">
      <c r="A45" s="72">
        <v>4</v>
      </c>
      <c r="B45" s="58" t="str">
        <f>'CLASSIFICA ORDINATA'!B71</f>
        <v>CTR_ocior-78</v>
      </c>
      <c r="C45" s="59" t="str">
        <f>VLOOKUP(B45,nomi!B:C,2,FALSE)</f>
        <v>TLM-Ocior78</v>
      </c>
      <c r="D45" s="59" t="str">
        <f>VLOOKUP(B45,nomi!B:G,6,FALSE)</f>
        <v>TLM</v>
      </c>
      <c r="F45" s="12" t="str">
        <f>'CLASSIFICA ORDINATA'!C71</f>
        <v/>
      </c>
      <c r="G45" s="12" t="str">
        <f>'CLASSIFICA ORDINATA'!D71</f>
        <v/>
      </c>
      <c r="H45" s="12" t="str">
        <f>'CLASSIFICA ORDINATA'!E71</f>
        <v/>
      </c>
      <c r="I45" s="79" t="str">
        <f>'CLASSIFICA ORDINATA'!F71</f>
        <v/>
      </c>
      <c r="J45" s="12" t="str">
        <f>'CLASSIFICA ORDINATA'!G71</f>
        <v/>
      </c>
      <c r="K45" s="12" t="str">
        <f>'CLASSIFICA ORDINATA'!H71</f>
        <v/>
      </c>
      <c r="L45" s="12" t="str">
        <f>'CLASSIFICA ORDINATA'!I71</f>
        <v/>
      </c>
      <c r="M45" s="79" t="str">
        <f>'CLASSIFICA ORDINATA'!J71</f>
        <v/>
      </c>
      <c r="N45" s="12" t="str">
        <f>'CLASSIFICA ORDINATA'!K71</f>
        <v/>
      </c>
      <c r="O45" s="12" t="str">
        <f>'CLASSIFICA ORDINATA'!L71</f>
        <v/>
      </c>
      <c r="P45" s="12" t="str">
        <f>'CLASSIFICA ORDINATA'!M71</f>
        <v/>
      </c>
      <c r="Q45" s="79" t="str">
        <f>'CLASSIFICA ORDINATA'!N71</f>
        <v/>
      </c>
      <c r="R45" s="12" t="str">
        <f>'CLASSIFICA ORDINATA'!O71</f>
        <v/>
      </c>
      <c r="S45" s="12" t="str">
        <f>'CLASSIFICA ORDINATA'!P71</f>
        <v/>
      </c>
      <c r="T45" s="12" t="str">
        <f>'CLASSIFICA ORDINATA'!Q71</f>
        <v/>
      </c>
      <c r="U45" s="79" t="str">
        <f>'CLASSIFICA ORDINATA'!R71</f>
        <v/>
      </c>
      <c r="V45" s="12" t="str">
        <f>'CLASSIFICA ORDINATA'!S71</f>
        <v/>
      </c>
      <c r="W45" s="12" t="str">
        <f>'CLASSIFICA ORDINATA'!T71</f>
        <v/>
      </c>
      <c r="X45" s="12" t="str">
        <f>'CLASSIFICA ORDINATA'!U71</f>
        <v/>
      </c>
      <c r="Y45" s="79" t="str">
        <f>'CLASSIFICA ORDINATA'!V71</f>
        <v/>
      </c>
      <c r="Z45" s="80">
        <f>'CLASSIFICA ORDINATA'!AA71</f>
        <v>0</v>
      </c>
    </row>
    <row r="46" spans="1:26" ht="20" customHeight="1" x14ac:dyDescent="0.25">
      <c r="A46" s="72">
        <v>5</v>
      </c>
      <c r="B46" s="58" t="str">
        <f>'CLASSIFICA ORDINATA'!B72</f>
        <v>TLM_SKIZZO 34</v>
      </c>
      <c r="C46" s="59" t="str">
        <f>VLOOKUP(B46,nomi!B:C,2,FALSE)</f>
        <v>TLM_SKIZZO 34</v>
      </c>
      <c r="D46" s="59" t="str">
        <f>VLOOKUP(B46,nomi!B:G,6,FALSE)</f>
        <v>TLM</v>
      </c>
      <c r="F46" s="12" t="str">
        <f>'CLASSIFICA ORDINATA'!C72</f>
        <v/>
      </c>
      <c r="G46" s="12" t="str">
        <f>'CLASSIFICA ORDINATA'!D72</f>
        <v/>
      </c>
      <c r="H46" s="12" t="str">
        <f>'CLASSIFICA ORDINATA'!E72</f>
        <v/>
      </c>
      <c r="I46" s="79" t="str">
        <f>'CLASSIFICA ORDINATA'!F72</f>
        <v/>
      </c>
      <c r="J46" s="12" t="str">
        <f>'CLASSIFICA ORDINATA'!G72</f>
        <v/>
      </c>
      <c r="K46" s="12" t="str">
        <f>'CLASSIFICA ORDINATA'!H72</f>
        <v/>
      </c>
      <c r="L46" s="12" t="str">
        <f>'CLASSIFICA ORDINATA'!I72</f>
        <v/>
      </c>
      <c r="M46" s="79" t="str">
        <f>'CLASSIFICA ORDINATA'!J72</f>
        <v/>
      </c>
      <c r="N46" s="12" t="str">
        <f>'CLASSIFICA ORDINATA'!K72</f>
        <v/>
      </c>
      <c r="O46" s="12" t="str">
        <f>'CLASSIFICA ORDINATA'!L72</f>
        <v/>
      </c>
      <c r="P46" s="12" t="str">
        <f>'CLASSIFICA ORDINATA'!M72</f>
        <v/>
      </c>
      <c r="Q46" s="79" t="str">
        <f>'CLASSIFICA ORDINATA'!N72</f>
        <v/>
      </c>
      <c r="R46" s="12" t="str">
        <f>'CLASSIFICA ORDINATA'!O72</f>
        <v/>
      </c>
      <c r="S46" s="12" t="str">
        <f>'CLASSIFICA ORDINATA'!P72</f>
        <v/>
      </c>
      <c r="T46" s="12" t="str">
        <f>'CLASSIFICA ORDINATA'!Q72</f>
        <v/>
      </c>
      <c r="U46" s="79" t="str">
        <f>'CLASSIFICA ORDINATA'!R72</f>
        <v/>
      </c>
      <c r="V46" s="12" t="str">
        <f>'CLASSIFICA ORDINATA'!S72</f>
        <v/>
      </c>
      <c r="W46" s="12" t="str">
        <f>'CLASSIFICA ORDINATA'!T72</f>
        <v/>
      </c>
      <c r="X46" s="12" t="str">
        <f>'CLASSIFICA ORDINATA'!U72</f>
        <v/>
      </c>
      <c r="Y46" s="79" t="str">
        <f>'CLASSIFICA ORDINATA'!V72</f>
        <v/>
      </c>
      <c r="Z46" s="80">
        <f>'CLASSIFICA ORDINATA'!AA72</f>
        <v>0</v>
      </c>
    </row>
    <row r="47" spans="1:26" ht="20" customHeight="1" x14ac:dyDescent="0.25">
      <c r="A47" s="72">
        <v>6</v>
      </c>
      <c r="B47" s="58" t="str">
        <f>'CLASSIFICA ORDINATA'!B73</f>
        <v>Mikedb__91__</v>
      </c>
      <c r="C47" s="59" t="str">
        <f>VLOOKUP(B47,nomi!B:C,2,FALSE)</f>
        <v>TLM-Mike91</v>
      </c>
      <c r="D47" s="59" t="str">
        <f>VLOOKUP(B47,nomi!B:G,6,FALSE)</f>
        <v>TLM</v>
      </c>
      <c r="F47" s="12" t="str">
        <f>'CLASSIFICA ORDINATA'!C73</f>
        <v/>
      </c>
      <c r="G47" s="12" t="str">
        <f>'CLASSIFICA ORDINATA'!D73</f>
        <v/>
      </c>
      <c r="H47" s="12" t="str">
        <f>'CLASSIFICA ORDINATA'!E73</f>
        <v/>
      </c>
      <c r="I47" s="79" t="str">
        <f>'CLASSIFICA ORDINATA'!F73</f>
        <v/>
      </c>
      <c r="J47" s="12" t="str">
        <f>'CLASSIFICA ORDINATA'!G73</f>
        <v/>
      </c>
      <c r="K47" s="12" t="str">
        <f>'CLASSIFICA ORDINATA'!H73</f>
        <v/>
      </c>
      <c r="L47" s="12" t="str">
        <f>'CLASSIFICA ORDINATA'!I73</f>
        <v/>
      </c>
      <c r="M47" s="79" t="str">
        <f>'CLASSIFICA ORDINATA'!J73</f>
        <v/>
      </c>
      <c r="N47" s="12" t="str">
        <f>'CLASSIFICA ORDINATA'!K73</f>
        <v/>
      </c>
      <c r="O47" s="12" t="str">
        <f>'CLASSIFICA ORDINATA'!L73</f>
        <v/>
      </c>
      <c r="P47" s="12" t="str">
        <f>'CLASSIFICA ORDINATA'!M73</f>
        <v/>
      </c>
      <c r="Q47" s="79" t="str">
        <f>'CLASSIFICA ORDINATA'!N73</f>
        <v/>
      </c>
      <c r="R47" s="12" t="str">
        <f>'CLASSIFICA ORDINATA'!O73</f>
        <v/>
      </c>
      <c r="S47" s="12" t="str">
        <f>'CLASSIFICA ORDINATA'!P73</f>
        <v/>
      </c>
      <c r="T47" s="12" t="str">
        <f>'CLASSIFICA ORDINATA'!Q73</f>
        <v/>
      </c>
      <c r="U47" s="79" t="str">
        <f>'CLASSIFICA ORDINATA'!R73</f>
        <v/>
      </c>
      <c r="V47" s="12" t="str">
        <f>'CLASSIFICA ORDINATA'!S73</f>
        <v/>
      </c>
      <c r="W47" s="12" t="str">
        <f>'CLASSIFICA ORDINATA'!T73</f>
        <v/>
      </c>
      <c r="X47" s="12" t="str">
        <f>'CLASSIFICA ORDINATA'!U73</f>
        <v/>
      </c>
      <c r="Y47" s="79" t="str">
        <f>'CLASSIFICA ORDINATA'!V73</f>
        <v/>
      </c>
      <c r="Z47" s="80">
        <f>'CLASSIFICA ORDINATA'!AA73</f>
        <v>0</v>
      </c>
    </row>
    <row r="48" spans="1:26" ht="20" customHeight="1" x14ac:dyDescent="0.25">
      <c r="A48" s="72">
        <v>7</v>
      </c>
      <c r="B48" s="58">
        <f>'CLASSIFICA ORDINATA'!B74</f>
        <v>0</v>
      </c>
      <c r="C48" s="59" t="e">
        <f>VLOOKUP(B48,nomi!B:C,2,FALSE)</f>
        <v>#N/A</v>
      </c>
      <c r="D48" s="59" t="e">
        <f>VLOOKUP(B48,nomi!B:G,6,FALSE)</f>
        <v>#N/A</v>
      </c>
      <c r="F48" s="12">
        <f>'CLASSIFICA ORDINATA'!C74</f>
        <v>0</v>
      </c>
      <c r="G48" s="12">
        <f>'CLASSIFICA ORDINATA'!D74</f>
        <v>0</v>
      </c>
      <c r="H48" s="12">
        <f>'CLASSIFICA ORDINATA'!E74</f>
        <v>0</v>
      </c>
      <c r="I48" s="79">
        <f>'CLASSIFICA ORDINATA'!F74</f>
        <v>0</v>
      </c>
      <c r="J48" s="12">
        <f>'CLASSIFICA ORDINATA'!G74</f>
        <v>0</v>
      </c>
      <c r="K48" s="12">
        <f>'CLASSIFICA ORDINATA'!H74</f>
        <v>0</v>
      </c>
      <c r="L48" s="12">
        <f>'CLASSIFICA ORDINATA'!I74</f>
        <v>0</v>
      </c>
      <c r="M48" s="79">
        <f>'CLASSIFICA ORDINATA'!J74</f>
        <v>0</v>
      </c>
      <c r="N48" s="12">
        <f>'CLASSIFICA ORDINATA'!K74</f>
        <v>0</v>
      </c>
      <c r="O48" s="12">
        <f>'CLASSIFICA ORDINATA'!L74</f>
        <v>0</v>
      </c>
      <c r="P48" s="12">
        <f>'CLASSIFICA ORDINATA'!M74</f>
        <v>0</v>
      </c>
      <c r="Q48" s="79">
        <f>'CLASSIFICA ORDINATA'!N74</f>
        <v>0</v>
      </c>
      <c r="R48" s="12">
        <f>'CLASSIFICA ORDINATA'!O74</f>
        <v>0</v>
      </c>
      <c r="S48" s="12">
        <f>'CLASSIFICA ORDINATA'!P74</f>
        <v>0</v>
      </c>
      <c r="T48" s="12">
        <f>'CLASSIFICA ORDINATA'!Q74</f>
        <v>0</v>
      </c>
      <c r="U48" s="79">
        <f>'CLASSIFICA ORDINATA'!R74</f>
        <v>0</v>
      </c>
      <c r="V48" s="12">
        <f>'CLASSIFICA ORDINATA'!S74</f>
        <v>0</v>
      </c>
      <c r="W48" s="12">
        <f>'CLASSIFICA ORDINATA'!T74</f>
        <v>0</v>
      </c>
      <c r="X48" s="12">
        <f>'CLASSIFICA ORDINATA'!U74</f>
        <v>0</v>
      </c>
      <c r="Y48" s="79">
        <f>'CLASSIFICA ORDINATA'!V74</f>
        <v>0</v>
      </c>
      <c r="Z48" s="80">
        <f>'CLASSIFICA ORDINATA'!AA74</f>
        <v>0</v>
      </c>
    </row>
    <row r="49" spans="1:26" ht="20" customHeight="1" x14ac:dyDescent="0.25">
      <c r="A49" s="72">
        <v>8</v>
      </c>
      <c r="B49" s="58">
        <f>'CLASSIFICA ORDINATA'!B75</f>
        <v>0</v>
      </c>
      <c r="C49" s="59" t="e">
        <f>VLOOKUP(B49,nomi!B:C,2,FALSE)</f>
        <v>#N/A</v>
      </c>
      <c r="D49" s="59" t="e">
        <f>VLOOKUP(B49,nomi!B:G,6,FALSE)</f>
        <v>#N/A</v>
      </c>
      <c r="F49" s="12">
        <f>'CLASSIFICA ORDINATA'!C75</f>
        <v>0</v>
      </c>
      <c r="G49" s="12">
        <f>'CLASSIFICA ORDINATA'!D75</f>
        <v>0</v>
      </c>
      <c r="H49" s="12">
        <f>'CLASSIFICA ORDINATA'!E75</f>
        <v>0</v>
      </c>
      <c r="I49" s="79">
        <f>'CLASSIFICA ORDINATA'!F75</f>
        <v>0</v>
      </c>
      <c r="J49" s="12">
        <f>'CLASSIFICA ORDINATA'!G75</f>
        <v>0</v>
      </c>
      <c r="K49" s="12">
        <f>'CLASSIFICA ORDINATA'!H75</f>
        <v>0</v>
      </c>
      <c r="L49" s="12">
        <f>'CLASSIFICA ORDINATA'!I75</f>
        <v>0</v>
      </c>
      <c r="M49" s="79">
        <f>'CLASSIFICA ORDINATA'!J75</f>
        <v>0</v>
      </c>
      <c r="N49" s="12">
        <f>'CLASSIFICA ORDINATA'!K75</f>
        <v>0</v>
      </c>
      <c r="O49" s="12">
        <f>'CLASSIFICA ORDINATA'!L75</f>
        <v>0</v>
      </c>
      <c r="P49" s="12">
        <f>'CLASSIFICA ORDINATA'!M75</f>
        <v>0</v>
      </c>
      <c r="Q49" s="79">
        <f>'CLASSIFICA ORDINATA'!N75</f>
        <v>0</v>
      </c>
      <c r="R49" s="12">
        <f>'CLASSIFICA ORDINATA'!O75</f>
        <v>0</v>
      </c>
      <c r="S49" s="12">
        <f>'CLASSIFICA ORDINATA'!P75</f>
        <v>0</v>
      </c>
      <c r="T49" s="12">
        <f>'CLASSIFICA ORDINATA'!Q75</f>
        <v>0</v>
      </c>
      <c r="U49" s="79">
        <f>'CLASSIFICA ORDINATA'!R75</f>
        <v>0</v>
      </c>
      <c r="V49" s="12">
        <f>'CLASSIFICA ORDINATA'!S75</f>
        <v>0</v>
      </c>
      <c r="W49" s="12">
        <f>'CLASSIFICA ORDINATA'!T75</f>
        <v>0</v>
      </c>
      <c r="X49" s="12">
        <f>'CLASSIFICA ORDINATA'!U75</f>
        <v>0</v>
      </c>
      <c r="Y49" s="79">
        <f>'CLASSIFICA ORDINATA'!V75</f>
        <v>0</v>
      </c>
      <c r="Z49" s="80">
        <f>'CLASSIFICA ORDINATA'!AA75</f>
        <v>0</v>
      </c>
    </row>
    <row r="50" spans="1:26" ht="20" customHeight="1" x14ac:dyDescent="0.25">
      <c r="A50" s="72">
        <v>9</v>
      </c>
      <c r="B50" s="58">
        <f>'CLASSIFICA ORDINATA'!B76</f>
        <v>0</v>
      </c>
      <c r="C50" s="59" t="e">
        <f>VLOOKUP(B50,nomi!B:C,2,FALSE)</f>
        <v>#N/A</v>
      </c>
      <c r="D50" s="59" t="e">
        <f>VLOOKUP(B50,nomi!B:G,6,FALSE)</f>
        <v>#N/A</v>
      </c>
      <c r="F50" s="12">
        <f>'CLASSIFICA ORDINATA'!C76</f>
        <v>0</v>
      </c>
      <c r="G50" s="12">
        <f>'CLASSIFICA ORDINATA'!D76</f>
        <v>0</v>
      </c>
      <c r="H50" s="12">
        <f>'CLASSIFICA ORDINATA'!E76</f>
        <v>0</v>
      </c>
      <c r="I50" s="79">
        <f>'CLASSIFICA ORDINATA'!F76</f>
        <v>0</v>
      </c>
      <c r="J50" s="12">
        <f>'CLASSIFICA ORDINATA'!G76</f>
        <v>0</v>
      </c>
      <c r="K50" s="12">
        <f>'CLASSIFICA ORDINATA'!H76</f>
        <v>0</v>
      </c>
      <c r="L50" s="12">
        <f>'CLASSIFICA ORDINATA'!I76</f>
        <v>0</v>
      </c>
      <c r="M50" s="79">
        <f>'CLASSIFICA ORDINATA'!J76</f>
        <v>0</v>
      </c>
      <c r="N50" s="12">
        <f>'CLASSIFICA ORDINATA'!K76</f>
        <v>0</v>
      </c>
      <c r="O50" s="12">
        <f>'CLASSIFICA ORDINATA'!L76</f>
        <v>0</v>
      </c>
      <c r="P50" s="12">
        <f>'CLASSIFICA ORDINATA'!M76</f>
        <v>0</v>
      </c>
      <c r="Q50" s="79">
        <f>'CLASSIFICA ORDINATA'!N76</f>
        <v>0</v>
      </c>
      <c r="R50" s="12">
        <f>'CLASSIFICA ORDINATA'!O76</f>
        <v>0</v>
      </c>
      <c r="S50" s="12">
        <f>'CLASSIFICA ORDINATA'!P76</f>
        <v>0</v>
      </c>
      <c r="T50" s="12">
        <f>'CLASSIFICA ORDINATA'!Q76</f>
        <v>0</v>
      </c>
      <c r="U50" s="79">
        <f>'CLASSIFICA ORDINATA'!R76</f>
        <v>0</v>
      </c>
      <c r="V50" s="12">
        <f>'CLASSIFICA ORDINATA'!S76</f>
        <v>0</v>
      </c>
      <c r="W50" s="12">
        <f>'CLASSIFICA ORDINATA'!T76</f>
        <v>0</v>
      </c>
      <c r="X50" s="12">
        <f>'CLASSIFICA ORDINATA'!U76</f>
        <v>0</v>
      </c>
      <c r="Y50" s="79">
        <f>'CLASSIFICA ORDINATA'!V76</f>
        <v>0</v>
      </c>
      <c r="Z50" s="80">
        <f>'CLASSIFICA ORDINATA'!AA76</f>
        <v>0</v>
      </c>
    </row>
    <row r="51" spans="1:26" ht="20" customHeight="1" x14ac:dyDescent="0.25">
      <c r="A51" s="72">
        <v>10</v>
      </c>
      <c r="B51" s="58">
        <f>'CLASSIFICA ORDINATA'!B77</f>
        <v>0</v>
      </c>
      <c r="C51" s="59" t="e">
        <f>VLOOKUP(B51,nomi!B:C,2,FALSE)</f>
        <v>#N/A</v>
      </c>
      <c r="D51" s="59" t="e">
        <f>VLOOKUP(B51,nomi!B:G,6,FALSE)</f>
        <v>#N/A</v>
      </c>
      <c r="F51" s="12">
        <f>'CLASSIFICA ORDINATA'!C77</f>
        <v>0</v>
      </c>
      <c r="G51" s="12">
        <f>'CLASSIFICA ORDINATA'!D77</f>
        <v>0</v>
      </c>
      <c r="H51" s="12">
        <f>'CLASSIFICA ORDINATA'!E77</f>
        <v>0</v>
      </c>
      <c r="I51" s="79">
        <f>'CLASSIFICA ORDINATA'!F77</f>
        <v>0</v>
      </c>
      <c r="J51" s="12">
        <f>'CLASSIFICA ORDINATA'!G77</f>
        <v>0</v>
      </c>
      <c r="K51" s="12">
        <f>'CLASSIFICA ORDINATA'!H77</f>
        <v>0</v>
      </c>
      <c r="L51" s="12">
        <f>'CLASSIFICA ORDINATA'!I77</f>
        <v>0</v>
      </c>
      <c r="M51" s="79">
        <f>'CLASSIFICA ORDINATA'!J77</f>
        <v>0</v>
      </c>
      <c r="N51" s="12">
        <f>'CLASSIFICA ORDINATA'!K77</f>
        <v>0</v>
      </c>
      <c r="O51" s="12">
        <f>'CLASSIFICA ORDINATA'!L77</f>
        <v>0</v>
      </c>
      <c r="P51" s="12">
        <f>'CLASSIFICA ORDINATA'!M77</f>
        <v>0</v>
      </c>
      <c r="Q51" s="79">
        <f>'CLASSIFICA ORDINATA'!N77</f>
        <v>0</v>
      </c>
      <c r="R51" s="12">
        <f>'CLASSIFICA ORDINATA'!O77</f>
        <v>0</v>
      </c>
      <c r="S51" s="12">
        <f>'CLASSIFICA ORDINATA'!P77</f>
        <v>0</v>
      </c>
      <c r="T51" s="12">
        <f>'CLASSIFICA ORDINATA'!Q77</f>
        <v>0</v>
      </c>
      <c r="U51" s="79">
        <f>'CLASSIFICA ORDINATA'!R77</f>
        <v>0</v>
      </c>
      <c r="V51" s="12">
        <f>'CLASSIFICA ORDINATA'!S77</f>
        <v>0</v>
      </c>
      <c r="W51" s="12">
        <f>'CLASSIFICA ORDINATA'!T77</f>
        <v>0</v>
      </c>
      <c r="X51" s="12">
        <f>'CLASSIFICA ORDINATA'!U77</f>
        <v>0</v>
      </c>
      <c r="Y51" s="79">
        <f>'CLASSIFICA ORDINATA'!V77</f>
        <v>0</v>
      </c>
      <c r="Z51" s="80">
        <f>'CLASSIFICA ORDINATA'!AA77</f>
        <v>0</v>
      </c>
    </row>
    <row r="52" spans="1:26" ht="20" customHeight="1" x14ac:dyDescent="0.25">
      <c r="A52" s="72">
        <v>11</v>
      </c>
      <c r="B52" s="58">
        <f>'CLASSIFICA ORDINATA'!B78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ORDINATA'!C78</f>
        <v>0</v>
      </c>
      <c r="G52" s="12">
        <f>'CLASSIFICA ORDINATA'!D78</f>
        <v>0</v>
      </c>
      <c r="H52" s="12">
        <f>'CLASSIFICA ORDINATA'!E78</f>
        <v>0</v>
      </c>
      <c r="I52" s="79">
        <f>'CLASSIFICA ORDINATA'!F78</f>
        <v>0</v>
      </c>
      <c r="J52" s="12">
        <f>'CLASSIFICA ORDINATA'!G78</f>
        <v>0</v>
      </c>
      <c r="K52" s="12">
        <f>'CLASSIFICA ORDINATA'!H78</f>
        <v>0</v>
      </c>
      <c r="L52" s="12">
        <f>'CLASSIFICA ORDINATA'!I78</f>
        <v>0</v>
      </c>
      <c r="M52" s="79">
        <f>'CLASSIFICA ORDINATA'!J78</f>
        <v>0</v>
      </c>
      <c r="N52" s="12">
        <f>'CLASSIFICA ORDINATA'!K78</f>
        <v>0</v>
      </c>
      <c r="O52" s="12">
        <f>'CLASSIFICA ORDINATA'!L78</f>
        <v>0</v>
      </c>
      <c r="P52" s="12">
        <f>'CLASSIFICA ORDINATA'!M78</f>
        <v>0</v>
      </c>
      <c r="Q52" s="79">
        <f>'CLASSIFICA ORDINATA'!N78</f>
        <v>0</v>
      </c>
      <c r="R52" s="12">
        <f>'CLASSIFICA ORDINATA'!O78</f>
        <v>0</v>
      </c>
      <c r="S52" s="12">
        <f>'CLASSIFICA ORDINATA'!P78</f>
        <v>0</v>
      </c>
      <c r="T52" s="12">
        <f>'CLASSIFICA ORDINATA'!Q78</f>
        <v>0</v>
      </c>
      <c r="U52" s="79">
        <f>'CLASSIFICA ORDINATA'!R78</f>
        <v>0</v>
      </c>
      <c r="V52" s="12">
        <f>'CLASSIFICA ORDINATA'!S78</f>
        <v>0</v>
      </c>
      <c r="W52" s="12">
        <f>'CLASSIFICA ORDINATA'!T78</f>
        <v>0</v>
      </c>
      <c r="X52" s="12">
        <f>'CLASSIFICA ORDINATA'!U78</f>
        <v>0</v>
      </c>
      <c r="Y52" s="79">
        <f>'CLASSIFICA ORDINATA'!V78</f>
        <v>0</v>
      </c>
      <c r="Z52" s="80">
        <f>'CLASSIFICA ORDINATA'!AA78</f>
        <v>0</v>
      </c>
    </row>
    <row r="53" spans="1:26" ht="20" customHeight="1" x14ac:dyDescent="0.25">
      <c r="A53" s="72">
        <v>12</v>
      </c>
      <c r="B53" s="58">
        <f>'CLASSIFICA ORDINATA'!B79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ORDINATA'!C79</f>
        <v>0</v>
      </c>
      <c r="G53" s="12">
        <f>'CLASSIFICA ORDINATA'!D79</f>
        <v>0</v>
      </c>
      <c r="H53" s="12">
        <f>'CLASSIFICA ORDINATA'!E79</f>
        <v>0</v>
      </c>
      <c r="I53" s="79">
        <f>'CLASSIFICA ORDINATA'!F79</f>
        <v>0</v>
      </c>
      <c r="J53" s="12">
        <f>'CLASSIFICA ORDINATA'!G79</f>
        <v>0</v>
      </c>
      <c r="K53" s="12">
        <f>'CLASSIFICA ORDINATA'!H79</f>
        <v>0</v>
      </c>
      <c r="L53" s="12">
        <f>'CLASSIFICA ORDINATA'!I79</f>
        <v>0</v>
      </c>
      <c r="M53" s="79">
        <f>'CLASSIFICA ORDINATA'!J79</f>
        <v>0</v>
      </c>
      <c r="N53" s="12">
        <f>'CLASSIFICA ORDINATA'!K79</f>
        <v>0</v>
      </c>
      <c r="O53" s="12">
        <f>'CLASSIFICA ORDINATA'!L79</f>
        <v>0</v>
      </c>
      <c r="P53" s="12">
        <f>'CLASSIFICA ORDINATA'!M79</f>
        <v>0</v>
      </c>
      <c r="Q53" s="79">
        <f>'CLASSIFICA ORDINATA'!N79</f>
        <v>0</v>
      </c>
      <c r="R53" s="12">
        <f>'CLASSIFICA ORDINATA'!O79</f>
        <v>0</v>
      </c>
      <c r="S53" s="12">
        <f>'CLASSIFICA ORDINATA'!P79</f>
        <v>0</v>
      </c>
      <c r="T53" s="12">
        <f>'CLASSIFICA ORDINATA'!Q79</f>
        <v>0</v>
      </c>
      <c r="U53" s="79">
        <f>'CLASSIFICA ORDINATA'!R79</f>
        <v>0</v>
      </c>
      <c r="V53" s="12">
        <f>'CLASSIFICA ORDINATA'!S79</f>
        <v>0</v>
      </c>
      <c r="W53" s="12">
        <f>'CLASSIFICA ORDINATA'!T79</f>
        <v>0</v>
      </c>
      <c r="X53" s="12">
        <f>'CLASSIFICA ORDINATA'!U79</f>
        <v>0</v>
      </c>
      <c r="Y53" s="79">
        <f>'CLASSIFICA ORDINATA'!V79</f>
        <v>0</v>
      </c>
      <c r="Z53" s="80">
        <f>'CLASSIFICA ORDINATA'!AA79</f>
        <v>0</v>
      </c>
    </row>
    <row r="54" spans="1:26" ht="20" customHeight="1" x14ac:dyDescent="0.25">
      <c r="A54" s="72">
        <v>13</v>
      </c>
      <c r="B54" s="58">
        <f>'CLASSIFICA ORDINATA'!B80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ORDINATA'!C80</f>
        <v>0</v>
      </c>
      <c r="G54" s="12">
        <f>'CLASSIFICA ORDINATA'!D80</f>
        <v>0</v>
      </c>
      <c r="H54" s="12">
        <f>'CLASSIFICA ORDINATA'!E80</f>
        <v>0</v>
      </c>
      <c r="I54" s="79">
        <f>'CLASSIFICA ORDINATA'!F80</f>
        <v>0</v>
      </c>
      <c r="J54" s="12">
        <f>'CLASSIFICA ORDINATA'!G80</f>
        <v>0</v>
      </c>
      <c r="K54" s="12">
        <f>'CLASSIFICA ORDINATA'!H80</f>
        <v>0</v>
      </c>
      <c r="L54" s="12">
        <f>'CLASSIFICA ORDINATA'!I80</f>
        <v>0</v>
      </c>
      <c r="M54" s="79">
        <f>'CLASSIFICA ORDINATA'!J80</f>
        <v>0</v>
      </c>
      <c r="N54" s="12">
        <f>'CLASSIFICA ORDINATA'!K80</f>
        <v>0</v>
      </c>
      <c r="O54" s="12">
        <f>'CLASSIFICA ORDINATA'!L80</f>
        <v>0</v>
      </c>
      <c r="P54" s="12">
        <f>'CLASSIFICA ORDINATA'!M80</f>
        <v>0</v>
      </c>
      <c r="Q54" s="79">
        <f>'CLASSIFICA ORDINATA'!N80</f>
        <v>0</v>
      </c>
      <c r="R54" s="12">
        <f>'CLASSIFICA ORDINATA'!O80</f>
        <v>0</v>
      </c>
      <c r="S54" s="12">
        <f>'CLASSIFICA ORDINATA'!P80</f>
        <v>0</v>
      </c>
      <c r="T54" s="12">
        <f>'CLASSIFICA ORDINATA'!Q80</f>
        <v>0</v>
      </c>
      <c r="U54" s="79">
        <f>'CLASSIFICA ORDINATA'!R80</f>
        <v>0</v>
      </c>
      <c r="V54" s="12">
        <f>'CLASSIFICA ORDINATA'!S80</f>
        <v>0</v>
      </c>
      <c r="W54" s="12">
        <f>'CLASSIFICA ORDINATA'!T80</f>
        <v>0</v>
      </c>
      <c r="X54" s="12">
        <f>'CLASSIFICA ORDINATA'!U80</f>
        <v>0</v>
      </c>
      <c r="Y54" s="79">
        <f>'CLASSIFICA ORDINATA'!V80</f>
        <v>0</v>
      </c>
      <c r="Z54" s="80">
        <f>'CLASSIFICA ORDINATA'!AA80</f>
        <v>0</v>
      </c>
    </row>
    <row r="55" spans="1:26" ht="20" customHeight="1" thickBot="1" x14ac:dyDescent="0.3">
      <c r="A55" s="73">
        <v>14</v>
      </c>
      <c r="B55" s="60">
        <f>'CLASSIFICA ORDINATA'!B81</f>
        <v>0</v>
      </c>
      <c r="C55" s="61" t="e">
        <f>VLOOKUP(B55,nomi!B:C,2,FALSE)</f>
        <v>#N/A</v>
      </c>
      <c r="D55" s="61" t="e">
        <f>VLOOKUP(B55,nomi!B:G,6,FALSE)</f>
        <v>#N/A</v>
      </c>
      <c r="F55" s="12">
        <f>'CLASSIFICA ORDINATA'!C81</f>
        <v>0</v>
      </c>
      <c r="G55" s="12">
        <f>'CLASSIFICA ORDINATA'!D81</f>
        <v>0</v>
      </c>
      <c r="H55" s="12">
        <f>'CLASSIFICA ORDINATA'!E81</f>
        <v>0</v>
      </c>
      <c r="I55" s="79">
        <f>'CLASSIFICA ORDINATA'!F81</f>
        <v>0</v>
      </c>
      <c r="J55" s="12">
        <f>'CLASSIFICA ORDINATA'!G81</f>
        <v>0</v>
      </c>
      <c r="K55" s="12">
        <f>'CLASSIFICA ORDINATA'!H81</f>
        <v>0</v>
      </c>
      <c r="L55" s="12">
        <f>'CLASSIFICA ORDINATA'!I81</f>
        <v>0</v>
      </c>
      <c r="M55" s="79">
        <f>'CLASSIFICA ORDINATA'!J81</f>
        <v>0</v>
      </c>
      <c r="N55" s="12">
        <f>'CLASSIFICA ORDINATA'!K81</f>
        <v>0</v>
      </c>
      <c r="O55" s="12">
        <f>'CLASSIFICA ORDINATA'!L81</f>
        <v>0</v>
      </c>
      <c r="P55" s="12">
        <f>'CLASSIFICA ORDINATA'!M81</f>
        <v>0</v>
      </c>
      <c r="Q55" s="79">
        <f>'CLASSIFICA ORDINATA'!N81</f>
        <v>0</v>
      </c>
      <c r="R55" s="12">
        <f>'CLASSIFICA ORDINATA'!O81</f>
        <v>0</v>
      </c>
      <c r="S55" s="12">
        <f>'CLASSIFICA ORDINATA'!P81</f>
        <v>0</v>
      </c>
      <c r="T55" s="12">
        <f>'CLASSIFICA ORDINATA'!Q81</f>
        <v>0</v>
      </c>
      <c r="U55" s="79">
        <f>'CLASSIFICA ORDINATA'!R81</f>
        <v>0</v>
      </c>
      <c r="V55" s="12">
        <f>'CLASSIFICA ORDINATA'!S81</f>
        <v>0</v>
      </c>
      <c r="W55" s="12">
        <f>'CLASSIFICA ORDINATA'!T81</f>
        <v>0</v>
      </c>
      <c r="X55" s="12">
        <f>'CLASSIFICA ORDINATA'!U81</f>
        <v>0</v>
      </c>
      <c r="Y55" s="79">
        <f>'CLASSIFICA ORDINATA'!V81</f>
        <v>0</v>
      </c>
      <c r="Z55" s="80">
        <f>'CLASSIFICA ORDINATA'!AA81</f>
        <v>0</v>
      </c>
    </row>
    <row r="56" spans="1:26" ht="20" customHeight="1" x14ac:dyDescent="0.25">
      <c r="A56" s="74">
        <v>15</v>
      </c>
      <c r="B56" s="76">
        <f>'CLASSIFICA ORDINATA'!B82</f>
        <v>0</v>
      </c>
      <c r="C56" s="77" t="e">
        <f>VLOOKUP(B56,nomi!B:C,2,FALSE)</f>
        <v>#N/A</v>
      </c>
      <c r="D56" s="77" t="e">
        <f>VLOOKUP(B56,nomi!B:G,6,FALSE)</f>
        <v>#N/A</v>
      </c>
      <c r="F56" s="12">
        <f>'CLASSIFICA ORDINATA'!C82</f>
        <v>0</v>
      </c>
      <c r="G56" s="12">
        <f>'CLASSIFICA ORDINATA'!D82</f>
        <v>0</v>
      </c>
      <c r="H56" s="12">
        <f>'CLASSIFICA ORDINATA'!E82</f>
        <v>0</v>
      </c>
      <c r="I56" s="79">
        <f>'CLASSIFICA ORDINATA'!F82</f>
        <v>0</v>
      </c>
      <c r="J56" s="12">
        <f>'CLASSIFICA ORDINATA'!G82</f>
        <v>0</v>
      </c>
      <c r="K56" s="12">
        <f>'CLASSIFICA ORDINATA'!H82</f>
        <v>0</v>
      </c>
      <c r="L56" s="12">
        <f>'CLASSIFICA ORDINATA'!I82</f>
        <v>0</v>
      </c>
      <c r="M56" s="79">
        <f>'CLASSIFICA ORDINATA'!J82</f>
        <v>0</v>
      </c>
      <c r="N56" s="12">
        <f>'CLASSIFICA ORDINATA'!K82</f>
        <v>0</v>
      </c>
      <c r="O56" s="12">
        <f>'CLASSIFICA ORDINATA'!L82</f>
        <v>0</v>
      </c>
      <c r="P56" s="12">
        <f>'CLASSIFICA ORDINATA'!M82</f>
        <v>0</v>
      </c>
      <c r="Q56" s="79">
        <f>'CLASSIFICA ORDINATA'!N82</f>
        <v>0</v>
      </c>
      <c r="R56" s="12">
        <f>'CLASSIFICA ORDINATA'!O82</f>
        <v>0</v>
      </c>
      <c r="S56" s="12">
        <f>'CLASSIFICA ORDINATA'!P82</f>
        <v>0</v>
      </c>
      <c r="T56" s="12">
        <f>'CLASSIFICA ORDINATA'!Q82</f>
        <v>0</v>
      </c>
      <c r="U56" s="79">
        <f>'CLASSIFICA ORDINATA'!R82</f>
        <v>0</v>
      </c>
      <c r="V56" s="12">
        <f>'CLASSIFICA ORDINATA'!S82</f>
        <v>0</v>
      </c>
      <c r="W56" s="12">
        <f>'CLASSIFICA ORDINATA'!T82</f>
        <v>0</v>
      </c>
      <c r="X56" s="12">
        <f>'CLASSIFICA ORDINATA'!U82</f>
        <v>0</v>
      </c>
      <c r="Y56" s="79">
        <f>'CLASSIFICA ORDINATA'!V82</f>
        <v>0</v>
      </c>
      <c r="Z56" s="80">
        <f>'CLASSIFICA ORDINATA'!AA82</f>
        <v>0</v>
      </c>
    </row>
    <row r="57" spans="1:26" ht="20" customHeight="1" x14ac:dyDescent="0.25">
      <c r="A57" s="75">
        <v>16</v>
      </c>
      <c r="B57" s="78">
        <f>'CLASSIFICA ORDINATA'!B83</f>
        <v>0</v>
      </c>
      <c r="C57" s="67" t="e">
        <f>VLOOKUP(B57,nomi!B:C,2,FALSE)</f>
        <v>#N/A</v>
      </c>
      <c r="D57" s="67" t="e">
        <f>VLOOKUP(B57,nomi!B:G,6,FALSE)</f>
        <v>#N/A</v>
      </c>
      <c r="F57" s="12">
        <f>'CLASSIFICA ORDINATA'!C83</f>
        <v>0</v>
      </c>
      <c r="G57" s="12">
        <f>'CLASSIFICA ORDINATA'!D83</f>
        <v>0</v>
      </c>
      <c r="H57" s="12">
        <f>'CLASSIFICA ORDINATA'!E83</f>
        <v>0</v>
      </c>
      <c r="I57" s="79">
        <f>'CLASSIFICA ORDINATA'!F83</f>
        <v>0</v>
      </c>
      <c r="J57" s="12">
        <f>'CLASSIFICA ORDINATA'!G83</f>
        <v>0</v>
      </c>
      <c r="K57" s="12">
        <f>'CLASSIFICA ORDINATA'!H83</f>
        <v>0</v>
      </c>
      <c r="L57" s="12">
        <f>'CLASSIFICA ORDINATA'!I83</f>
        <v>0</v>
      </c>
      <c r="M57" s="79">
        <f>'CLASSIFICA ORDINATA'!J83</f>
        <v>0</v>
      </c>
      <c r="N57" s="12">
        <f>'CLASSIFICA ORDINATA'!K83</f>
        <v>0</v>
      </c>
      <c r="O57" s="12">
        <f>'CLASSIFICA ORDINATA'!L83</f>
        <v>0</v>
      </c>
      <c r="P57" s="12">
        <f>'CLASSIFICA ORDINATA'!M83</f>
        <v>0</v>
      </c>
      <c r="Q57" s="79">
        <f>'CLASSIFICA ORDINATA'!N83</f>
        <v>0</v>
      </c>
      <c r="R57" s="12">
        <f>'CLASSIFICA ORDINATA'!O83</f>
        <v>0</v>
      </c>
      <c r="S57" s="12">
        <f>'CLASSIFICA ORDINATA'!P83</f>
        <v>0</v>
      </c>
      <c r="T57" s="12">
        <f>'CLASSIFICA ORDINATA'!Q83</f>
        <v>0</v>
      </c>
      <c r="U57" s="79">
        <f>'CLASSIFICA ORDINATA'!R83</f>
        <v>0</v>
      </c>
      <c r="V57" s="12">
        <f>'CLASSIFICA ORDINATA'!S83</f>
        <v>0</v>
      </c>
      <c r="W57" s="12">
        <f>'CLASSIFICA ORDINATA'!T83</f>
        <v>0</v>
      </c>
      <c r="X57" s="12">
        <f>'CLASSIFICA ORDINATA'!U83</f>
        <v>0</v>
      </c>
      <c r="Y57" s="79">
        <f>'CLASSIFICA ORDINATA'!V83</f>
        <v>0</v>
      </c>
      <c r="Z57" s="80">
        <f>'CLASSIFICA ORDINATA'!AA83</f>
        <v>0</v>
      </c>
    </row>
    <row r="58" spans="1:26" ht="20" customHeight="1" x14ac:dyDescent="0.25">
      <c r="A58" s="75">
        <v>17</v>
      </c>
      <c r="B58" s="78">
        <f>'CLASSIFICA ORDINATA'!B84</f>
        <v>0</v>
      </c>
      <c r="C58" s="67" t="e">
        <f>VLOOKUP(B58,nomi!B:C,2,FALSE)</f>
        <v>#N/A</v>
      </c>
      <c r="D58" s="67" t="e">
        <f>VLOOKUP(B58,nomi!B:G,6,FALSE)</f>
        <v>#N/A</v>
      </c>
      <c r="F58" s="12">
        <f>'CLASSIFICA ORDINATA'!C84</f>
        <v>0</v>
      </c>
      <c r="G58" s="12">
        <f>'CLASSIFICA ORDINATA'!D84</f>
        <v>0</v>
      </c>
      <c r="H58" s="12">
        <f>'CLASSIFICA ORDINATA'!E84</f>
        <v>0</v>
      </c>
      <c r="I58" s="79">
        <f>'CLASSIFICA ORDINATA'!F84</f>
        <v>0</v>
      </c>
      <c r="J58" s="12">
        <f>'CLASSIFICA ORDINATA'!G84</f>
        <v>0</v>
      </c>
      <c r="K58" s="12">
        <f>'CLASSIFICA ORDINATA'!H84</f>
        <v>0</v>
      </c>
      <c r="L58" s="12">
        <f>'CLASSIFICA ORDINATA'!I84</f>
        <v>0</v>
      </c>
      <c r="M58" s="79">
        <f>'CLASSIFICA ORDINATA'!J84</f>
        <v>0</v>
      </c>
      <c r="N58" s="12">
        <f>'CLASSIFICA ORDINATA'!K84</f>
        <v>0</v>
      </c>
      <c r="O58" s="12">
        <f>'CLASSIFICA ORDINATA'!L84</f>
        <v>0</v>
      </c>
      <c r="P58" s="12">
        <f>'CLASSIFICA ORDINATA'!M84</f>
        <v>0</v>
      </c>
      <c r="Q58" s="79">
        <f>'CLASSIFICA ORDINATA'!N84</f>
        <v>0</v>
      </c>
      <c r="R58" s="12">
        <f>'CLASSIFICA ORDINATA'!O84</f>
        <v>0</v>
      </c>
      <c r="S58" s="12">
        <f>'CLASSIFICA ORDINATA'!P84</f>
        <v>0</v>
      </c>
      <c r="T58" s="12">
        <f>'CLASSIFICA ORDINATA'!Q84</f>
        <v>0</v>
      </c>
      <c r="U58" s="79">
        <f>'CLASSIFICA ORDINATA'!R84</f>
        <v>0</v>
      </c>
      <c r="V58" s="12">
        <f>'CLASSIFICA ORDINATA'!S84</f>
        <v>0</v>
      </c>
      <c r="W58" s="12">
        <f>'CLASSIFICA ORDINATA'!T84</f>
        <v>0</v>
      </c>
      <c r="X58" s="12">
        <f>'CLASSIFICA ORDINATA'!U84</f>
        <v>0</v>
      </c>
      <c r="Y58" s="79">
        <f>'CLASSIFICA ORDINATA'!V84</f>
        <v>0</v>
      </c>
      <c r="Z58" s="80">
        <f>'CLASSIFICA ORDINATA'!AA84</f>
        <v>0</v>
      </c>
    </row>
    <row r="59" spans="1:26" ht="20" customHeight="1" x14ac:dyDescent="0.25">
      <c r="A59" s="75">
        <v>18</v>
      </c>
      <c r="B59" s="78">
        <f>'CLASSIFICA ORDINATA'!B85</f>
        <v>0</v>
      </c>
      <c r="C59" s="67" t="e">
        <f>VLOOKUP(B59,nomi!B:C,2,FALSE)</f>
        <v>#N/A</v>
      </c>
      <c r="D59" s="67" t="e">
        <f>VLOOKUP(B59,nomi!B:G,6,FALSE)</f>
        <v>#N/A</v>
      </c>
      <c r="F59" s="12">
        <f>'CLASSIFICA ORDINATA'!C85</f>
        <v>0</v>
      </c>
      <c r="G59" s="12">
        <f>'CLASSIFICA ORDINATA'!D85</f>
        <v>0</v>
      </c>
      <c r="H59" s="12">
        <f>'CLASSIFICA ORDINATA'!E85</f>
        <v>0</v>
      </c>
      <c r="I59" s="79">
        <f>'CLASSIFICA ORDINATA'!F85</f>
        <v>0</v>
      </c>
      <c r="J59" s="12">
        <f>'CLASSIFICA ORDINATA'!G85</f>
        <v>0</v>
      </c>
      <c r="K59" s="12">
        <f>'CLASSIFICA ORDINATA'!H85</f>
        <v>0</v>
      </c>
      <c r="L59" s="12">
        <f>'CLASSIFICA ORDINATA'!I85</f>
        <v>0</v>
      </c>
      <c r="M59" s="79">
        <f>'CLASSIFICA ORDINATA'!J85</f>
        <v>0</v>
      </c>
      <c r="N59" s="12">
        <f>'CLASSIFICA ORDINATA'!K85</f>
        <v>0</v>
      </c>
      <c r="O59" s="12">
        <f>'CLASSIFICA ORDINATA'!L85</f>
        <v>0</v>
      </c>
      <c r="P59" s="12">
        <f>'CLASSIFICA ORDINATA'!M85</f>
        <v>0</v>
      </c>
      <c r="Q59" s="79">
        <f>'CLASSIFICA ORDINATA'!N85</f>
        <v>0</v>
      </c>
      <c r="R59" s="12">
        <f>'CLASSIFICA ORDINATA'!O85</f>
        <v>0</v>
      </c>
      <c r="S59" s="12">
        <f>'CLASSIFICA ORDINATA'!P85</f>
        <v>0</v>
      </c>
      <c r="T59" s="12">
        <f>'CLASSIFICA ORDINATA'!Q85</f>
        <v>0</v>
      </c>
      <c r="U59" s="79">
        <f>'CLASSIFICA ORDINATA'!R85</f>
        <v>0</v>
      </c>
      <c r="V59" s="12">
        <f>'CLASSIFICA ORDINATA'!S85</f>
        <v>0</v>
      </c>
      <c r="W59" s="12">
        <f>'CLASSIFICA ORDINATA'!T85</f>
        <v>0</v>
      </c>
      <c r="X59" s="12">
        <f>'CLASSIFICA ORDINATA'!U85</f>
        <v>0</v>
      </c>
      <c r="Y59" s="79">
        <f>'CLASSIFICA ORDINATA'!V85</f>
        <v>0</v>
      </c>
      <c r="Z59" s="80">
        <f>'CLASSIFICA ORDINATA'!AA85</f>
        <v>0</v>
      </c>
    </row>
    <row r="60" spans="1:26" ht="20" customHeight="1" x14ac:dyDescent="0.25">
      <c r="A60" s="75">
        <v>19</v>
      </c>
      <c r="B60" s="78">
        <f>'CLASSIFICA ORDINATA'!B86</f>
        <v>0</v>
      </c>
      <c r="C60" s="67" t="e">
        <f>VLOOKUP(B60,nomi!B:C,2,FALSE)</f>
        <v>#N/A</v>
      </c>
      <c r="D60" s="67" t="e">
        <f>VLOOKUP(B60,nomi!B:G,6,FALSE)</f>
        <v>#N/A</v>
      </c>
      <c r="F60" s="12">
        <f>'CLASSIFICA ORDINATA'!C86</f>
        <v>0</v>
      </c>
      <c r="G60" s="12">
        <f>'CLASSIFICA ORDINATA'!D86</f>
        <v>0</v>
      </c>
      <c r="H60" s="12">
        <f>'CLASSIFICA ORDINATA'!E86</f>
        <v>0</v>
      </c>
      <c r="I60" s="79">
        <f>'CLASSIFICA ORDINATA'!F86</f>
        <v>0</v>
      </c>
      <c r="J60" s="12">
        <f>'CLASSIFICA ORDINATA'!G86</f>
        <v>0</v>
      </c>
      <c r="K60" s="12">
        <f>'CLASSIFICA ORDINATA'!H86</f>
        <v>0</v>
      </c>
      <c r="L60" s="12">
        <f>'CLASSIFICA ORDINATA'!I86</f>
        <v>0</v>
      </c>
      <c r="M60" s="79">
        <f>'CLASSIFICA ORDINATA'!J86</f>
        <v>0</v>
      </c>
      <c r="N60" s="12">
        <f>'CLASSIFICA ORDINATA'!K86</f>
        <v>0</v>
      </c>
      <c r="O60" s="12">
        <f>'CLASSIFICA ORDINATA'!L86</f>
        <v>0</v>
      </c>
      <c r="P60" s="12">
        <f>'CLASSIFICA ORDINATA'!M86</f>
        <v>0</v>
      </c>
      <c r="Q60" s="79">
        <f>'CLASSIFICA ORDINATA'!N86</f>
        <v>0</v>
      </c>
      <c r="R60" s="12">
        <f>'CLASSIFICA ORDINATA'!O86</f>
        <v>0</v>
      </c>
      <c r="S60" s="12">
        <f>'CLASSIFICA ORDINATA'!P86</f>
        <v>0</v>
      </c>
      <c r="T60" s="12">
        <f>'CLASSIFICA ORDINATA'!Q86</f>
        <v>0</v>
      </c>
      <c r="U60" s="79">
        <f>'CLASSIFICA ORDINATA'!R86</f>
        <v>0</v>
      </c>
      <c r="V60" s="12">
        <f>'CLASSIFICA ORDINATA'!S86</f>
        <v>0</v>
      </c>
      <c r="W60" s="12">
        <f>'CLASSIFICA ORDINATA'!T86</f>
        <v>0</v>
      </c>
      <c r="X60" s="12">
        <f>'CLASSIFICA ORDINATA'!U86</f>
        <v>0</v>
      </c>
      <c r="Y60" s="79">
        <f>'CLASSIFICA ORDINATA'!V86</f>
        <v>0</v>
      </c>
      <c r="Z60" s="80">
        <f>'CLASSIFICA ORDINATA'!AA86</f>
        <v>0</v>
      </c>
    </row>
    <row r="61" spans="1:26" ht="20" customHeight="1" x14ac:dyDescent="0.25">
      <c r="A61" s="75">
        <v>20</v>
      </c>
      <c r="B61" s="78">
        <f>'CLASSIFICA ORDINATA'!B87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ORDINATA'!C87</f>
        <v>0</v>
      </c>
      <c r="G61" s="12">
        <f>'CLASSIFICA ORDINATA'!D87</f>
        <v>0</v>
      </c>
      <c r="H61" s="12">
        <f>'CLASSIFICA ORDINATA'!E87</f>
        <v>0</v>
      </c>
      <c r="I61" s="79">
        <f>'CLASSIFICA ORDINATA'!F87</f>
        <v>0</v>
      </c>
      <c r="J61" s="12">
        <f>'CLASSIFICA ORDINATA'!G87</f>
        <v>0</v>
      </c>
      <c r="K61" s="12">
        <f>'CLASSIFICA ORDINATA'!H87</f>
        <v>0</v>
      </c>
      <c r="L61" s="12">
        <f>'CLASSIFICA ORDINATA'!I87</f>
        <v>0</v>
      </c>
      <c r="M61" s="79">
        <f>'CLASSIFICA ORDINATA'!J87</f>
        <v>0</v>
      </c>
      <c r="N61" s="12">
        <f>'CLASSIFICA ORDINATA'!K87</f>
        <v>0</v>
      </c>
      <c r="O61" s="12">
        <f>'CLASSIFICA ORDINATA'!L87</f>
        <v>0</v>
      </c>
      <c r="P61" s="12">
        <f>'CLASSIFICA ORDINATA'!M87</f>
        <v>0</v>
      </c>
      <c r="Q61" s="79">
        <f>'CLASSIFICA ORDINATA'!N87</f>
        <v>0</v>
      </c>
      <c r="R61" s="12">
        <f>'CLASSIFICA ORDINATA'!O87</f>
        <v>0</v>
      </c>
      <c r="S61" s="12">
        <f>'CLASSIFICA ORDINATA'!P87</f>
        <v>0</v>
      </c>
      <c r="T61" s="12">
        <f>'CLASSIFICA ORDINATA'!Q87</f>
        <v>0</v>
      </c>
      <c r="U61" s="79">
        <f>'CLASSIFICA ORDINATA'!R87</f>
        <v>0</v>
      </c>
      <c r="V61" s="12">
        <f>'CLASSIFICA ORDINATA'!S87</f>
        <v>0</v>
      </c>
      <c r="W61" s="12">
        <f>'CLASSIFICA ORDINATA'!T87</f>
        <v>0</v>
      </c>
      <c r="X61" s="12">
        <f>'CLASSIFICA ORDINATA'!U87</f>
        <v>0</v>
      </c>
      <c r="Y61" s="79">
        <f>'CLASSIFICA ORDINATA'!V87</f>
        <v>0</v>
      </c>
      <c r="Z61" s="80">
        <f>'CLASSIFICA ORDINATA'!AA87</f>
        <v>0</v>
      </c>
    </row>
    <row r="62" spans="1:26" ht="20" customHeight="1" x14ac:dyDescent="0.25">
      <c r="A62" s="75">
        <v>21</v>
      </c>
      <c r="B62" s="78">
        <f>'CLASSIFICA ORDINATA'!B88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ORDINATA'!C88</f>
        <v>0</v>
      </c>
      <c r="G62" s="12">
        <f>'CLASSIFICA ORDINATA'!D88</f>
        <v>0</v>
      </c>
      <c r="H62" s="12">
        <f>'CLASSIFICA ORDINATA'!E88</f>
        <v>0</v>
      </c>
      <c r="I62" s="79">
        <f>'CLASSIFICA ORDINATA'!F88</f>
        <v>0</v>
      </c>
      <c r="J62" s="12">
        <f>'CLASSIFICA ORDINATA'!G88</f>
        <v>0</v>
      </c>
      <c r="K62" s="12">
        <f>'CLASSIFICA ORDINATA'!H88</f>
        <v>0</v>
      </c>
      <c r="L62" s="12">
        <f>'CLASSIFICA ORDINATA'!I88</f>
        <v>0</v>
      </c>
      <c r="M62" s="79">
        <f>'CLASSIFICA ORDINATA'!J88</f>
        <v>0</v>
      </c>
      <c r="N62" s="12">
        <f>'CLASSIFICA ORDINATA'!K88</f>
        <v>0</v>
      </c>
      <c r="O62" s="12">
        <f>'CLASSIFICA ORDINATA'!L88</f>
        <v>0</v>
      </c>
      <c r="P62" s="12">
        <f>'CLASSIFICA ORDINATA'!M88</f>
        <v>0</v>
      </c>
      <c r="Q62" s="79">
        <f>'CLASSIFICA ORDINATA'!N88</f>
        <v>0</v>
      </c>
      <c r="R62" s="12">
        <f>'CLASSIFICA ORDINATA'!O88</f>
        <v>0</v>
      </c>
      <c r="S62" s="12">
        <f>'CLASSIFICA ORDINATA'!P88</f>
        <v>0</v>
      </c>
      <c r="T62" s="12">
        <f>'CLASSIFICA ORDINATA'!Q88</f>
        <v>0</v>
      </c>
      <c r="U62" s="79">
        <f>'CLASSIFICA ORDINATA'!R88</f>
        <v>0</v>
      </c>
      <c r="V62" s="12">
        <f>'CLASSIFICA ORDINATA'!S88</f>
        <v>0</v>
      </c>
      <c r="W62" s="12">
        <f>'CLASSIFICA ORDINATA'!T88</f>
        <v>0</v>
      </c>
      <c r="X62" s="12">
        <f>'CLASSIFICA ORDINATA'!U88</f>
        <v>0</v>
      </c>
      <c r="Y62" s="79">
        <f>'CLASSIFICA ORDINATA'!V88</f>
        <v>0</v>
      </c>
      <c r="Z62" s="80">
        <f>'CLASSIFICA ORDINATA'!AA88</f>
        <v>0</v>
      </c>
    </row>
    <row r="63" spans="1:26" ht="20" customHeight="1" x14ac:dyDescent="0.25">
      <c r="A63" s="75">
        <v>22</v>
      </c>
      <c r="B63" s="78">
        <f>'CLASSIFICA ORDINATA'!B89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ORDINATA'!C89</f>
        <v>0</v>
      </c>
      <c r="G63" s="12">
        <f>'CLASSIFICA ORDINATA'!D89</f>
        <v>0</v>
      </c>
      <c r="H63" s="12">
        <f>'CLASSIFICA ORDINATA'!E89</f>
        <v>0</v>
      </c>
      <c r="I63" s="79">
        <f>'CLASSIFICA ORDINATA'!F89</f>
        <v>0</v>
      </c>
      <c r="J63" s="12">
        <f>'CLASSIFICA ORDINATA'!G89</f>
        <v>0</v>
      </c>
      <c r="K63" s="12">
        <f>'CLASSIFICA ORDINATA'!H89</f>
        <v>0</v>
      </c>
      <c r="L63" s="12">
        <f>'CLASSIFICA ORDINATA'!I89</f>
        <v>0</v>
      </c>
      <c r="M63" s="79">
        <f>'CLASSIFICA ORDINATA'!J89</f>
        <v>0</v>
      </c>
      <c r="N63" s="12">
        <f>'CLASSIFICA ORDINATA'!K89</f>
        <v>0</v>
      </c>
      <c r="O63" s="12">
        <f>'CLASSIFICA ORDINATA'!L89</f>
        <v>0</v>
      </c>
      <c r="P63" s="12">
        <f>'CLASSIFICA ORDINATA'!M89</f>
        <v>0</v>
      </c>
      <c r="Q63" s="79">
        <f>'CLASSIFICA ORDINATA'!N89</f>
        <v>0</v>
      </c>
      <c r="R63" s="12">
        <f>'CLASSIFICA ORDINATA'!O89</f>
        <v>0</v>
      </c>
      <c r="S63" s="12">
        <f>'CLASSIFICA ORDINATA'!P89</f>
        <v>0</v>
      </c>
      <c r="T63" s="12">
        <f>'CLASSIFICA ORDINATA'!Q89</f>
        <v>0</v>
      </c>
      <c r="U63" s="79">
        <f>'CLASSIFICA ORDINATA'!R89</f>
        <v>0</v>
      </c>
      <c r="V63" s="12">
        <f>'CLASSIFICA ORDINATA'!S89</f>
        <v>0</v>
      </c>
      <c r="W63" s="12">
        <f>'CLASSIFICA ORDINATA'!T89</f>
        <v>0</v>
      </c>
      <c r="X63" s="12">
        <f>'CLASSIFICA ORDINATA'!U89</f>
        <v>0</v>
      </c>
      <c r="Y63" s="79">
        <f>'CLASSIFICA ORDINATA'!V89</f>
        <v>0</v>
      </c>
      <c r="Z63" s="80">
        <f>'CLASSIFICA ORDINATA'!AA89</f>
        <v>0</v>
      </c>
    </row>
    <row r="64" spans="1:26" ht="20" customHeight="1" x14ac:dyDescent="0.25">
      <c r="A64" s="75">
        <v>23</v>
      </c>
      <c r="B64" s="78">
        <f>'CLASSIFICA ORDINATA'!B90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ORDINATA'!C90</f>
        <v>0</v>
      </c>
      <c r="G64" s="12">
        <f>'CLASSIFICA ORDINATA'!D90</f>
        <v>0</v>
      </c>
      <c r="H64" s="12">
        <f>'CLASSIFICA ORDINATA'!E90</f>
        <v>0</v>
      </c>
      <c r="I64" s="79">
        <f>'CLASSIFICA ORDINATA'!F90</f>
        <v>0</v>
      </c>
      <c r="J64" s="12">
        <f>'CLASSIFICA ORDINATA'!G90</f>
        <v>0</v>
      </c>
      <c r="K64" s="12">
        <f>'CLASSIFICA ORDINATA'!H90</f>
        <v>0</v>
      </c>
      <c r="L64" s="12">
        <f>'CLASSIFICA ORDINATA'!I90</f>
        <v>0</v>
      </c>
      <c r="M64" s="79">
        <f>'CLASSIFICA ORDINATA'!J90</f>
        <v>0</v>
      </c>
      <c r="N64" s="12">
        <f>'CLASSIFICA ORDINATA'!K90</f>
        <v>0</v>
      </c>
      <c r="O64" s="12">
        <f>'CLASSIFICA ORDINATA'!L90</f>
        <v>0</v>
      </c>
      <c r="P64" s="12">
        <f>'CLASSIFICA ORDINATA'!M90</f>
        <v>0</v>
      </c>
      <c r="Q64" s="79">
        <f>'CLASSIFICA ORDINATA'!N90</f>
        <v>0</v>
      </c>
      <c r="R64" s="12">
        <f>'CLASSIFICA ORDINATA'!O90</f>
        <v>0</v>
      </c>
      <c r="S64" s="12">
        <f>'CLASSIFICA ORDINATA'!P90</f>
        <v>0</v>
      </c>
      <c r="T64" s="12">
        <f>'CLASSIFICA ORDINATA'!Q90</f>
        <v>0</v>
      </c>
      <c r="U64" s="79">
        <f>'CLASSIFICA ORDINATA'!R90</f>
        <v>0</v>
      </c>
      <c r="V64" s="12">
        <f>'CLASSIFICA ORDINATA'!S90</f>
        <v>0</v>
      </c>
      <c r="W64" s="12">
        <f>'CLASSIFICA ORDINATA'!T90</f>
        <v>0</v>
      </c>
      <c r="X64" s="12">
        <f>'CLASSIFICA ORDINATA'!U90</f>
        <v>0</v>
      </c>
      <c r="Y64" s="79">
        <f>'CLASSIFICA ORDINATA'!V90</f>
        <v>0</v>
      </c>
      <c r="Z64" s="80">
        <f>'CLASSIFICA ORDINATA'!AA90</f>
        <v>0</v>
      </c>
    </row>
    <row r="65" spans="1:26" ht="20" customHeight="1" x14ac:dyDescent="0.25">
      <c r="A65" s="75">
        <v>24</v>
      </c>
      <c r="B65" s="78">
        <f>'CLASSIFICA ORDINATA'!B91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ORDINATA'!C91</f>
        <v>0</v>
      </c>
      <c r="G65" s="12">
        <f>'CLASSIFICA ORDINATA'!D91</f>
        <v>0</v>
      </c>
      <c r="H65" s="12">
        <f>'CLASSIFICA ORDINATA'!E91</f>
        <v>0</v>
      </c>
      <c r="I65" s="79">
        <f>'CLASSIFICA ORDINATA'!F91</f>
        <v>0</v>
      </c>
      <c r="J65" s="12">
        <f>'CLASSIFICA ORDINATA'!G91</f>
        <v>0</v>
      </c>
      <c r="K65" s="12">
        <f>'CLASSIFICA ORDINATA'!H91</f>
        <v>0</v>
      </c>
      <c r="L65" s="12">
        <f>'CLASSIFICA ORDINATA'!I91</f>
        <v>0</v>
      </c>
      <c r="M65" s="79">
        <f>'CLASSIFICA ORDINATA'!J91</f>
        <v>0</v>
      </c>
      <c r="N65" s="12">
        <f>'CLASSIFICA ORDINATA'!K91</f>
        <v>0</v>
      </c>
      <c r="O65" s="12">
        <f>'CLASSIFICA ORDINATA'!L91</f>
        <v>0</v>
      </c>
      <c r="P65" s="12">
        <f>'CLASSIFICA ORDINATA'!M91</f>
        <v>0</v>
      </c>
      <c r="Q65" s="79">
        <f>'CLASSIFICA ORDINATA'!N91</f>
        <v>0</v>
      </c>
      <c r="R65" s="12">
        <f>'CLASSIFICA ORDINATA'!O91</f>
        <v>0</v>
      </c>
      <c r="S65" s="12">
        <f>'CLASSIFICA ORDINATA'!P91</f>
        <v>0</v>
      </c>
      <c r="T65" s="12">
        <f>'CLASSIFICA ORDINATA'!Q91</f>
        <v>0</v>
      </c>
      <c r="U65" s="79">
        <f>'CLASSIFICA ORDINATA'!R91</f>
        <v>0</v>
      </c>
      <c r="V65" s="12">
        <f>'CLASSIFICA ORDINATA'!S91</f>
        <v>0</v>
      </c>
      <c r="W65" s="12">
        <f>'CLASSIFICA ORDINATA'!T91</f>
        <v>0</v>
      </c>
      <c r="X65" s="12">
        <f>'CLASSIFICA ORDINATA'!U91</f>
        <v>0</v>
      </c>
      <c r="Y65" s="79">
        <f>'CLASSIFICA ORDINATA'!V91</f>
        <v>0</v>
      </c>
      <c r="Z65" s="80">
        <f>'CLASSIFICA ORDINATA'!AA91</f>
        <v>0</v>
      </c>
    </row>
    <row r="66" spans="1:26" ht="20" customHeight="1" x14ac:dyDescent="0.25">
      <c r="A66" s="75">
        <v>25</v>
      </c>
      <c r="B66" s="78">
        <f>'CLASSIFICA ORDINATA'!B92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ORDINATA'!C92</f>
        <v>0</v>
      </c>
      <c r="G66" s="12">
        <f>'CLASSIFICA ORDINATA'!D92</f>
        <v>0</v>
      </c>
      <c r="H66" s="12">
        <f>'CLASSIFICA ORDINATA'!E92</f>
        <v>0</v>
      </c>
      <c r="I66" s="79">
        <f>'CLASSIFICA ORDINATA'!F92</f>
        <v>0</v>
      </c>
      <c r="J66" s="12">
        <f>'CLASSIFICA ORDINATA'!G92</f>
        <v>0</v>
      </c>
      <c r="K66" s="12">
        <f>'CLASSIFICA ORDINATA'!H92</f>
        <v>0</v>
      </c>
      <c r="L66" s="12">
        <f>'CLASSIFICA ORDINATA'!I92</f>
        <v>0</v>
      </c>
      <c r="M66" s="79">
        <f>'CLASSIFICA ORDINATA'!J92</f>
        <v>0</v>
      </c>
      <c r="N66" s="12">
        <f>'CLASSIFICA ORDINATA'!K92</f>
        <v>0</v>
      </c>
      <c r="O66" s="12">
        <f>'CLASSIFICA ORDINATA'!L92</f>
        <v>0</v>
      </c>
      <c r="P66" s="12">
        <f>'CLASSIFICA ORDINATA'!M92</f>
        <v>0</v>
      </c>
      <c r="Q66" s="79">
        <f>'CLASSIFICA ORDINATA'!N92</f>
        <v>0</v>
      </c>
      <c r="R66" s="12">
        <f>'CLASSIFICA ORDINATA'!O92</f>
        <v>0</v>
      </c>
      <c r="S66" s="12">
        <f>'CLASSIFICA ORDINATA'!P92</f>
        <v>0</v>
      </c>
      <c r="T66" s="12">
        <f>'CLASSIFICA ORDINATA'!Q92</f>
        <v>0</v>
      </c>
      <c r="U66" s="79">
        <f>'CLASSIFICA ORDINATA'!R92</f>
        <v>0</v>
      </c>
      <c r="V66" s="12">
        <f>'CLASSIFICA ORDINATA'!S92</f>
        <v>0</v>
      </c>
      <c r="W66" s="12">
        <f>'CLASSIFICA ORDINATA'!T92</f>
        <v>0</v>
      </c>
      <c r="X66" s="12">
        <f>'CLASSIFICA ORDINATA'!U92</f>
        <v>0</v>
      </c>
      <c r="Y66" s="79">
        <f>'CLASSIFICA ORDINATA'!V92</f>
        <v>0</v>
      </c>
      <c r="Z66" s="80">
        <f>'CLASSIFICA ORDINATA'!AA92</f>
        <v>0</v>
      </c>
    </row>
    <row r="67" spans="1:26" ht="20" customHeight="1" x14ac:dyDescent="0.25">
      <c r="A67" s="75">
        <v>26</v>
      </c>
      <c r="B67" s="78">
        <f>'CLASSIFICA ORDINATA'!B93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ORDINATA'!C93</f>
        <v>0</v>
      </c>
      <c r="G67" s="12">
        <f>'CLASSIFICA ORDINATA'!D93</f>
        <v>0</v>
      </c>
      <c r="H67" s="12">
        <f>'CLASSIFICA ORDINATA'!E93</f>
        <v>0</v>
      </c>
      <c r="I67" s="79">
        <f>'CLASSIFICA ORDINATA'!F93</f>
        <v>0</v>
      </c>
      <c r="J67" s="12">
        <f>'CLASSIFICA ORDINATA'!G93</f>
        <v>0</v>
      </c>
      <c r="K67" s="12">
        <f>'CLASSIFICA ORDINATA'!H93</f>
        <v>0</v>
      </c>
      <c r="L67" s="12">
        <f>'CLASSIFICA ORDINATA'!I93</f>
        <v>0</v>
      </c>
      <c r="M67" s="79">
        <f>'CLASSIFICA ORDINATA'!J93</f>
        <v>0</v>
      </c>
      <c r="N67" s="12">
        <f>'CLASSIFICA ORDINATA'!K93</f>
        <v>0</v>
      </c>
      <c r="O67" s="12">
        <f>'CLASSIFICA ORDINATA'!L93</f>
        <v>0</v>
      </c>
      <c r="P67" s="12">
        <f>'CLASSIFICA ORDINATA'!M93</f>
        <v>0</v>
      </c>
      <c r="Q67" s="79">
        <f>'CLASSIFICA ORDINATA'!N93</f>
        <v>0</v>
      </c>
      <c r="R67" s="12">
        <f>'CLASSIFICA ORDINATA'!O93</f>
        <v>0</v>
      </c>
      <c r="S67" s="12">
        <f>'CLASSIFICA ORDINATA'!P93</f>
        <v>0</v>
      </c>
      <c r="T67" s="12">
        <f>'CLASSIFICA ORDINATA'!Q93</f>
        <v>0</v>
      </c>
      <c r="U67" s="79">
        <f>'CLASSIFICA ORDINATA'!R93</f>
        <v>0</v>
      </c>
      <c r="V67" s="12">
        <f>'CLASSIFICA ORDINATA'!S93</f>
        <v>0</v>
      </c>
      <c r="W67" s="12">
        <f>'CLASSIFICA ORDINATA'!T93</f>
        <v>0</v>
      </c>
      <c r="X67" s="12">
        <f>'CLASSIFICA ORDINATA'!U93</f>
        <v>0</v>
      </c>
      <c r="Y67" s="79">
        <f>'CLASSIFICA ORDINATA'!V93</f>
        <v>0</v>
      </c>
      <c r="Z67" s="80">
        <f>'CLASSIFICA ORDINATA'!AA93</f>
        <v>0</v>
      </c>
    </row>
    <row r="68" spans="1:26" ht="20" customHeight="1" x14ac:dyDescent="0.25">
      <c r="A68" s="75">
        <v>27</v>
      </c>
      <c r="B68" s="78">
        <f>'CLASSIFICA ORDINATA'!B94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ORDINATA'!C94</f>
        <v>0</v>
      </c>
      <c r="G68" s="12">
        <f>'CLASSIFICA ORDINATA'!D94</f>
        <v>0</v>
      </c>
      <c r="H68" s="12">
        <f>'CLASSIFICA ORDINATA'!E94</f>
        <v>0</v>
      </c>
      <c r="I68" s="79">
        <f>'CLASSIFICA ORDINATA'!F94</f>
        <v>0</v>
      </c>
      <c r="J68" s="12">
        <f>'CLASSIFICA ORDINATA'!G94</f>
        <v>0</v>
      </c>
      <c r="K68" s="12">
        <f>'CLASSIFICA ORDINATA'!H94</f>
        <v>0</v>
      </c>
      <c r="L68" s="12">
        <f>'CLASSIFICA ORDINATA'!I94</f>
        <v>0</v>
      </c>
      <c r="M68" s="79">
        <f>'CLASSIFICA ORDINATA'!J94</f>
        <v>0</v>
      </c>
      <c r="N68" s="12">
        <f>'CLASSIFICA ORDINATA'!K94</f>
        <v>0</v>
      </c>
      <c r="O68" s="12">
        <f>'CLASSIFICA ORDINATA'!L94</f>
        <v>0</v>
      </c>
      <c r="P68" s="12">
        <f>'CLASSIFICA ORDINATA'!M94</f>
        <v>0</v>
      </c>
      <c r="Q68" s="79">
        <f>'CLASSIFICA ORDINATA'!N94</f>
        <v>0</v>
      </c>
      <c r="R68" s="12">
        <f>'CLASSIFICA ORDINATA'!O94</f>
        <v>0</v>
      </c>
      <c r="S68" s="12">
        <f>'CLASSIFICA ORDINATA'!P94</f>
        <v>0</v>
      </c>
      <c r="T68" s="12">
        <f>'CLASSIFICA ORDINATA'!Q94</f>
        <v>0</v>
      </c>
      <c r="U68" s="79">
        <f>'CLASSIFICA ORDINATA'!R94</f>
        <v>0</v>
      </c>
      <c r="V68" s="12">
        <f>'CLASSIFICA ORDINATA'!S94</f>
        <v>0</v>
      </c>
      <c r="W68" s="12">
        <f>'CLASSIFICA ORDINATA'!T94</f>
        <v>0</v>
      </c>
      <c r="X68" s="12">
        <f>'CLASSIFICA ORDINATA'!U94</f>
        <v>0</v>
      </c>
      <c r="Y68" s="79">
        <f>'CLASSIFICA ORDINATA'!V94</f>
        <v>0</v>
      </c>
      <c r="Z68" s="80">
        <f>'CLASSIFICA ORDINATA'!AA94</f>
        <v>0</v>
      </c>
    </row>
    <row r="69" spans="1:26" ht="20" customHeight="1" x14ac:dyDescent="0.25">
      <c r="A69" s="75">
        <v>28</v>
      </c>
      <c r="B69" s="78">
        <f>'CLASSIFICA ORDINATA'!B95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ORDINATA'!C95</f>
        <v>0</v>
      </c>
      <c r="G69" s="12">
        <f>'CLASSIFICA ORDINATA'!D95</f>
        <v>0</v>
      </c>
      <c r="H69" s="12">
        <f>'CLASSIFICA ORDINATA'!E95</f>
        <v>0</v>
      </c>
      <c r="I69" s="79">
        <f>'CLASSIFICA ORDINATA'!F95</f>
        <v>0</v>
      </c>
      <c r="J69" s="12">
        <f>'CLASSIFICA ORDINATA'!G95</f>
        <v>0</v>
      </c>
      <c r="K69" s="12">
        <f>'CLASSIFICA ORDINATA'!H95</f>
        <v>0</v>
      </c>
      <c r="L69" s="12">
        <f>'CLASSIFICA ORDINATA'!I95</f>
        <v>0</v>
      </c>
      <c r="M69" s="79">
        <f>'CLASSIFICA ORDINATA'!J95</f>
        <v>0</v>
      </c>
      <c r="N69" s="12">
        <f>'CLASSIFICA ORDINATA'!K95</f>
        <v>0</v>
      </c>
      <c r="O69" s="12">
        <f>'CLASSIFICA ORDINATA'!L95</f>
        <v>0</v>
      </c>
      <c r="P69" s="12">
        <f>'CLASSIFICA ORDINATA'!M95</f>
        <v>0</v>
      </c>
      <c r="Q69" s="79">
        <f>'CLASSIFICA ORDINATA'!N95</f>
        <v>0</v>
      </c>
      <c r="R69" s="12">
        <f>'CLASSIFICA ORDINATA'!O95</f>
        <v>0</v>
      </c>
      <c r="S69" s="12">
        <f>'CLASSIFICA ORDINATA'!P95</f>
        <v>0</v>
      </c>
      <c r="T69" s="12">
        <f>'CLASSIFICA ORDINATA'!Q95</f>
        <v>0</v>
      </c>
      <c r="U69" s="79">
        <f>'CLASSIFICA ORDINATA'!R95</f>
        <v>0</v>
      </c>
      <c r="V69" s="12">
        <f>'CLASSIFICA ORDINATA'!S95</f>
        <v>0</v>
      </c>
      <c r="W69" s="12">
        <f>'CLASSIFICA ORDINATA'!T95</f>
        <v>0</v>
      </c>
      <c r="X69" s="12">
        <f>'CLASSIFICA ORDINATA'!U95</f>
        <v>0</v>
      </c>
      <c r="Y69" s="79">
        <f>'CLASSIFICA ORDINATA'!V95</f>
        <v>0</v>
      </c>
      <c r="Z69" s="80">
        <f>'CLASSIFICA ORDINATA'!AA95</f>
        <v>0</v>
      </c>
    </row>
    <row r="70" spans="1:26" ht="20" customHeight="1" x14ac:dyDescent="0.25">
      <c r="A70" s="75">
        <v>29</v>
      </c>
      <c r="B70" s="78">
        <f>'CLASSIFICA ORDINATA'!B96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ORDINATA'!C96</f>
        <v>0</v>
      </c>
      <c r="G70" s="12">
        <f>'CLASSIFICA ORDINATA'!D96</f>
        <v>0</v>
      </c>
      <c r="H70" s="12">
        <f>'CLASSIFICA ORDINATA'!E96</f>
        <v>0</v>
      </c>
      <c r="I70" s="79">
        <f>'CLASSIFICA ORDINATA'!F96</f>
        <v>0</v>
      </c>
      <c r="J70" s="12">
        <f>'CLASSIFICA ORDINATA'!G96</f>
        <v>0</v>
      </c>
      <c r="K70" s="12">
        <f>'CLASSIFICA ORDINATA'!H96</f>
        <v>0</v>
      </c>
      <c r="L70" s="12">
        <f>'CLASSIFICA ORDINATA'!I96</f>
        <v>0</v>
      </c>
      <c r="M70" s="79">
        <f>'CLASSIFICA ORDINATA'!J96</f>
        <v>0</v>
      </c>
      <c r="N70" s="12">
        <f>'CLASSIFICA ORDINATA'!K96</f>
        <v>0</v>
      </c>
      <c r="O70" s="12">
        <f>'CLASSIFICA ORDINATA'!L96</f>
        <v>0</v>
      </c>
      <c r="P70" s="12">
        <f>'CLASSIFICA ORDINATA'!M96</f>
        <v>0</v>
      </c>
      <c r="Q70" s="79">
        <f>'CLASSIFICA ORDINATA'!N96</f>
        <v>0</v>
      </c>
      <c r="R70" s="12">
        <f>'CLASSIFICA ORDINATA'!O96</f>
        <v>0</v>
      </c>
      <c r="S70" s="12">
        <f>'CLASSIFICA ORDINATA'!P96</f>
        <v>0</v>
      </c>
      <c r="T70" s="12">
        <f>'CLASSIFICA ORDINATA'!Q96</f>
        <v>0</v>
      </c>
      <c r="U70" s="79">
        <f>'CLASSIFICA ORDINATA'!R96</f>
        <v>0</v>
      </c>
      <c r="V70" s="12">
        <f>'CLASSIFICA ORDINATA'!S96</f>
        <v>0</v>
      </c>
      <c r="W70" s="12">
        <f>'CLASSIFICA ORDINATA'!T96</f>
        <v>0</v>
      </c>
      <c r="X70" s="12">
        <f>'CLASSIFICA ORDINATA'!U96</f>
        <v>0</v>
      </c>
      <c r="Y70" s="79">
        <f>'CLASSIFICA ORDINATA'!V96</f>
        <v>0</v>
      </c>
      <c r="Z70" s="80">
        <f>'CLASSIFICA ORDINATA'!AA96</f>
        <v>0</v>
      </c>
    </row>
    <row r="71" spans="1:26" ht="20" customHeight="1" x14ac:dyDescent="0.25">
      <c r="A71" s="75">
        <v>30</v>
      </c>
      <c r="B71" s="78">
        <f>'CLASSIFICA ORDINATA'!B97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ORDINATA'!C97</f>
        <v>0</v>
      </c>
      <c r="G71" s="12">
        <f>'CLASSIFICA ORDINATA'!D97</f>
        <v>0</v>
      </c>
      <c r="H71" s="12">
        <f>'CLASSIFICA ORDINATA'!E97</f>
        <v>0</v>
      </c>
      <c r="I71" s="79">
        <f>'CLASSIFICA ORDINATA'!F97</f>
        <v>0</v>
      </c>
      <c r="J71" s="12">
        <f>'CLASSIFICA ORDINATA'!G97</f>
        <v>0</v>
      </c>
      <c r="K71" s="12">
        <f>'CLASSIFICA ORDINATA'!H97</f>
        <v>0</v>
      </c>
      <c r="L71" s="12">
        <f>'CLASSIFICA ORDINATA'!I97</f>
        <v>0</v>
      </c>
      <c r="M71" s="79">
        <f>'CLASSIFICA ORDINATA'!J97</f>
        <v>0</v>
      </c>
      <c r="N71" s="12">
        <f>'CLASSIFICA ORDINATA'!K97</f>
        <v>0</v>
      </c>
      <c r="O71" s="12">
        <f>'CLASSIFICA ORDINATA'!L97</f>
        <v>0</v>
      </c>
      <c r="P71" s="12">
        <f>'CLASSIFICA ORDINATA'!M97</f>
        <v>0</v>
      </c>
      <c r="Q71" s="79">
        <f>'CLASSIFICA ORDINATA'!N97</f>
        <v>0</v>
      </c>
      <c r="R71" s="12">
        <f>'CLASSIFICA ORDINATA'!O97</f>
        <v>0</v>
      </c>
      <c r="S71" s="12">
        <f>'CLASSIFICA ORDINATA'!P97</f>
        <v>0</v>
      </c>
      <c r="T71" s="12">
        <f>'CLASSIFICA ORDINATA'!Q97</f>
        <v>0</v>
      </c>
      <c r="U71" s="79">
        <f>'CLASSIFICA ORDINATA'!R97</f>
        <v>0</v>
      </c>
      <c r="V71" s="12">
        <f>'CLASSIFICA ORDINATA'!S97</f>
        <v>0</v>
      </c>
      <c r="W71" s="12">
        <f>'CLASSIFICA ORDINATA'!T97</f>
        <v>0</v>
      </c>
      <c r="X71" s="12">
        <f>'CLASSIFICA ORDINATA'!U97</f>
        <v>0</v>
      </c>
      <c r="Y71" s="79">
        <f>'CLASSIFICA ORDINATA'!V97</f>
        <v>0</v>
      </c>
      <c r="Z71" s="80">
        <f>'CLASSIFICA ORDINATA'!AA97</f>
        <v>0</v>
      </c>
    </row>
    <row r="72" spans="1:26" ht="17" x14ac:dyDescent="0.25">
      <c r="A72" s="75">
        <v>31</v>
      </c>
      <c r="B72" s="78">
        <f>'CLASSIFICA ORDINATA'!B98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ORDINATA'!C98</f>
        <v>0</v>
      </c>
      <c r="G72" s="12">
        <f>'CLASSIFICA ORDINATA'!D98</f>
        <v>0</v>
      </c>
      <c r="H72" s="12">
        <f>'CLASSIFICA ORDINATA'!E98</f>
        <v>0</v>
      </c>
      <c r="I72" s="79">
        <f>'CLASSIFICA ORDINATA'!F98</f>
        <v>0</v>
      </c>
      <c r="J72" s="12">
        <f>'CLASSIFICA ORDINATA'!G98</f>
        <v>0</v>
      </c>
      <c r="K72" s="12">
        <f>'CLASSIFICA ORDINATA'!H98</f>
        <v>0</v>
      </c>
      <c r="L72" s="12">
        <f>'CLASSIFICA ORDINATA'!I98</f>
        <v>0</v>
      </c>
      <c r="M72" s="79">
        <f>'CLASSIFICA ORDINATA'!J98</f>
        <v>0</v>
      </c>
      <c r="N72" s="12">
        <f>'CLASSIFICA ORDINATA'!K98</f>
        <v>0</v>
      </c>
      <c r="O72" s="12">
        <f>'CLASSIFICA ORDINATA'!L98</f>
        <v>0</v>
      </c>
      <c r="P72" s="12">
        <f>'CLASSIFICA ORDINATA'!M98</f>
        <v>0</v>
      </c>
      <c r="Q72" s="79">
        <f>'CLASSIFICA ORDINATA'!N98</f>
        <v>0</v>
      </c>
      <c r="R72" s="12">
        <f>'CLASSIFICA ORDINATA'!O98</f>
        <v>0</v>
      </c>
      <c r="S72" s="12">
        <f>'CLASSIFICA ORDINATA'!P98</f>
        <v>0</v>
      </c>
      <c r="T72" s="12">
        <f>'CLASSIFICA ORDINATA'!Q98</f>
        <v>0</v>
      </c>
      <c r="U72" s="79">
        <f>'CLASSIFICA ORDINATA'!R98</f>
        <v>0</v>
      </c>
      <c r="V72" s="12">
        <f>'CLASSIFICA ORDINATA'!S98</f>
        <v>0</v>
      </c>
      <c r="W72" s="12">
        <f>'CLASSIFICA ORDINATA'!T98</f>
        <v>0</v>
      </c>
      <c r="X72" s="12">
        <f>'CLASSIFICA ORDINATA'!U98</f>
        <v>0</v>
      </c>
      <c r="Y72" s="79">
        <f>'CLASSIFICA ORDINATA'!V98</f>
        <v>0</v>
      </c>
      <c r="Z72" s="80">
        <f>'CLASSIFICA ORDINATA'!AA98</f>
        <v>0</v>
      </c>
    </row>
    <row r="73" spans="1:26" ht="20" customHeight="1" x14ac:dyDescent="0.25">
      <c r="A73" s="75">
        <v>32</v>
      </c>
      <c r="B73" s="78">
        <f>'CLASSIFICA ORDINATA'!B99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ORDINATA'!C99</f>
        <v>0</v>
      </c>
      <c r="G73" s="12">
        <f>'CLASSIFICA ORDINATA'!D99</f>
        <v>0</v>
      </c>
      <c r="H73" s="12">
        <f>'CLASSIFICA ORDINATA'!E99</f>
        <v>0</v>
      </c>
      <c r="I73" s="79">
        <f>'CLASSIFICA ORDINATA'!F99</f>
        <v>0</v>
      </c>
      <c r="J73" s="12">
        <f>'CLASSIFICA ORDINATA'!G99</f>
        <v>0</v>
      </c>
      <c r="K73" s="12">
        <f>'CLASSIFICA ORDINATA'!H99</f>
        <v>0</v>
      </c>
      <c r="L73" s="12">
        <f>'CLASSIFICA ORDINATA'!I99</f>
        <v>0</v>
      </c>
      <c r="M73" s="79">
        <f>'CLASSIFICA ORDINATA'!J99</f>
        <v>0</v>
      </c>
      <c r="N73" s="12">
        <f>'CLASSIFICA ORDINATA'!K99</f>
        <v>0</v>
      </c>
      <c r="O73" s="12">
        <f>'CLASSIFICA ORDINATA'!L99</f>
        <v>0</v>
      </c>
      <c r="P73" s="12">
        <f>'CLASSIFICA ORDINATA'!M99</f>
        <v>0</v>
      </c>
      <c r="Q73" s="79">
        <f>'CLASSIFICA ORDINATA'!N99</f>
        <v>0</v>
      </c>
      <c r="R73" s="12">
        <f>'CLASSIFICA ORDINATA'!O99</f>
        <v>0</v>
      </c>
      <c r="S73" s="12">
        <f>'CLASSIFICA ORDINATA'!P99</f>
        <v>0</v>
      </c>
      <c r="T73" s="12">
        <f>'CLASSIFICA ORDINATA'!Q99</f>
        <v>0</v>
      </c>
      <c r="U73" s="79">
        <f>'CLASSIFICA ORDINATA'!R99</f>
        <v>0</v>
      </c>
      <c r="V73" s="12">
        <f>'CLASSIFICA ORDINATA'!S99</f>
        <v>0</v>
      </c>
      <c r="W73" s="12">
        <f>'CLASSIFICA ORDINATA'!T99</f>
        <v>0</v>
      </c>
      <c r="X73" s="12">
        <f>'CLASSIFICA ORDINATA'!U99</f>
        <v>0</v>
      </c>
      <c r="Y73" s="79">
        <f>'CLASSIFICA ORDINATA'!V99</f>
        <v>0</v>
      </c>
      <c r="Z73" s="80">
        <f>'CLASSIFICA ORDINATA'!AA99</f>
        <v>0</v>
      </c>
    </row>
    <row r="74" spans="1:26" ht="20" customHeight="1" x14ac:dyDescent="0.25">
      <c r="A74" s="75">
        <v>33</v>
      </c>
      <c r="B74" s="78">
        <f>'CLASSIFICA ORDINATA'!B100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ORDINATA'!C100</f>
        <v>0</v>
      </c>
      <c r="G74" s="12">
        <f>'CLASSIFICA ORDINATA'!D100</f>
        <v>0</v>
      </c>
      <c r="H74" s="12">
        <f>'CLASSIFICA ORDINATA'!E100</f>
        <v>0</v>
      </c>
      <c r="I74" s="79">
        <f>'CLASSIFICA ORDINATA'!F100</f>
        <v>0</v>
      </c>
      <c r="J74" s="12">
        <f>'CLASSIFICA ORDINATA'!G100</f>
        <v>0</v>
      </c>
      <c r="K74" s="12">
        <f>'CLASSIFICA ORDINATA'!H100</f>
        <v>0</v>
      </c>
      <c r="L74" s="12">
        <f>'CLASSIFICA ORDINATA'!I100</f>
        <v>0</v>
      </c>
      <c r="M74" s="79">
        <f>'CLASSIFICA ORDINATA'!J100</f>
        <v>0</v>
      </c>
      <c r="N74" s="12">
        <f>'CLASSIFICA ORDINATA'!K100</f>
        <v>0</v>
      </c>
      <c r="O74" s="12">
        <f>'CLASSIFICA ORDINATA'!L100</f>
        <v>0</v>
      </c>
      <c r="P74" s="12">
        <f>'CLASSIFICA ORDINATA'!M100</f>
        <v>0</v>
      </c>
      <c r="Q74" s="79">
        <f>'CLASSIFICA ORDINATA'!N100</f>
        <v>0</v>
      </c>
      <c r="R74" s="12">
        <f>'CLASSIFICA ORDINATA'!O100</f>
        <v>0</v>
      </c>
      <c r="S74" s="12">
        <f>'CLASSIFICA ORDINATA'!P100</f>
        <v>0</v>
      </c>
      <c r="T74" s="12">
        <f>'CLASSIFICA ORDINATA'!Q100</f>
        <v>0</v>
      </c>
      <c r="U74" s="79">
        <f>'CLASSIFICA ORDINATA'!R100</f>
        <v>0</v>
      </c>
      <c r="V74" s="12">
        <f>'CLASSIFICA ORDINATA'!S100</f>
        <v>0</v>
      </c>
      <c r="W74" s="12">
        <f>'CLASSIFICA ORDINATA'!T100</f>
        <v>0</v>
      </c>
      <c r="X74" s="12">
        <f>'CLASSIFICA ORDINATA'!U100</f>
        <v>0</v>
      </c>
      <c r="Y74" s="79">
        <f>'CLASSIFICA ORDINATA'!V100</f>
        <v>0</v>
      </c>
      <c r="Z74" s="80">
        <f>'CLASSIFICA ORDINATA'!AA100</f>
        <v>0</v>
      </c>
    </row>
    <row r="75" spans="1:26" ht="20" customHeight="1" x14ac:dyDescent="0.25">
      <c r="A75" s="75">
        <v>34</v>
      </c>
      <c r="B75" s="78">
        <f>'CLASSIFICA ORDINATA'!B101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ORDINATA'!C101</f>
        <v>0</v>
      </c>
      <c r="G75" s="12">
        <f>'CLASSIFICA ORDINATA'!D101</f>
        <v>0</v>
      </c>
      <c r="H75" s="12">
        <f>'CLASSIFICA ORDINATA'!E101</f>
        <v>0</v>
      </c>
      <c r="I75" s="79">
        <f>'CLASSIFICA ORDINATA'!F101</f>
        <v>0</v>
      </c>
      <c r="J75" s="12">
        <f>'CLASSIFICA ORDINATA'!G101</f>
        <v>0</v>
      </c>
      <c r="K75" s="12">
        <f>'CLASSIFICA ORDINATA'!H101</f>
        <v>0</v>
      </c>
      <c r="L75" s="12">
        <f>'CLASSIFICA ORDINATA'!I101</f>
        <v>0</v>
      </c>
      <c r="M75" s="79">
        <f>'CLASSIFICA ORDINATA'!J101</f>
        <v>0</v>
      </c>
      <c r="N75" s="12">
        <f>'CLASSIFICA ORDINATA'!K101</f>
        <v>0</v>
      </c>
      <c r="O75" s="12">
        <f>'CLASSIFICA ORDINATA'!L101</f>
        <v>0</v>
      </c>
      <c r="P75" s="12">
        <f>'CLASSIFICA ORDINATA'!M101</f>
        <v>0</v>
      </c>
      <c r="Q75" s="79">
        <f>'CLASSIFICA ORDINATA'!N101</f>
        <v>0</v>
      </c>
      <c r="R75" s="12">
        <f>'CLASSIFICA ORDINATA'!O101</f>
        <v>0</v>
      </c>
      <c r="S75" s="12">
        <f>'CLASSIFICA ORDINATA'!P101</f>
        <v>0</v>
      </c>
      <c r="T75" s="12">
        <f>'CLASSIFICA ORDINATA'!Q101</f>
        <v>0</v>
      </c>
      <c r="U75" s="79">
        <f>'CLASSIFICA ORDINATA'!R101</f>
        <v>0</v>
      </c>
      <c r="V75" s="12">
        <f>'CLASSIFICA ORDINATA'!S101</f>
        <v>0</v>
      </c>
      <c r="W75" s="12">
        <f>'CLASSIFICA ORDINATA'!T101</f>
        <v>0</v>
      </c>
      <c r="X75" s="12">
        <f>'CLASSIFICA ORDINATA'!U101</f>
        <v>0</v>
      </c>
      <c r="Y75" s="79">
        <f>'CLASSIFICA ORDINATA'!V101</f>
        <v>0</v>
      </c>
      <c r="Z75" s="80">
        <f>'CLASSIFICA ORDINATA'!AA101</f>
        <v>0</v>
      </c>
    </row>
    <row r="76" spans="1:26" ht="20" customHeight="1" x14ac:dyDescent="0.25">
      <c r="A76" s="75">
        <v>35</v>
      </c>
      <c r="B76" s="78">
        <f>'CLASSIFICA ORDINATA'!B102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ORDINATA'!C102</f>
        <v>0</v>
      </c>
      <c r="G76" s="12">
        <f>'CLASSIFICA ORDINATA'!D102</f>
        <v>0</v>
      </c>
      <c r="H76" s="12">
        <f>'CLASSIFICA ORDINATA'!E102</f>
        <v>0</v>
      </c>
      <c r="I76" s="79">
        <f>'CLASSIFICA ORDINATA'!F102</f>
        <v>0</v>
      </c>
      <c r="J76" s="12">
        <f>'CLASSIFICA ORDINATA'!G102</f>
        <v>0</v>
      </c>
      <c r="K76" s="12">
        <f>'CLASSIFICA ORDINATA'!H102</f>
        <v>0</v>
      </c>
      <c r="L76" s="12">
        <f>'CLASSIFICA ORDINATA'!I102</f>
        <v>0</v>
      </c>
      <c r="M76" s="79">
        <f>'CLASSIFICA ORDINATA'!J102</f>
        <v>0</v>
      </c>
      <c r="N76" s="12">
        <f>'CLASSIFICA ORDINATA'!K102</f>
        <v>0</v>
      </c>
      <c r="O76" s="12">
        <f>'CLASSIFICA ORDINATA'!L102</f>
        <v>0</v>
      </c>
      <c r="P76" s="12">
        <f>'CLASSIFICA ORDINATA'!M102</f>
        <v>0</v>
      </c>
      <c r="Q76" s="79">
        <f>'CLASSIFICA ORDINATA'!N102</f>
        <v>0</v>
      </c>
      <c r="R76" s="12">
        <f>'CLASSIFICA ORDINATA'!O102</f>
        <v>0</v>
      </c>
      <c r="S76" s="12">
        <f>'CLASSIFICA ORDINATA'!P102</f>
        <v>0</v>
      </c>
      <c r="T76" s="12">
        <f>'CLASSIFICA ORDINATA'!Q102</f>
        <v>0</v>
      </c>
      <c r="U76" s="79">
        <f>'CLASSIFICA ORDINATA'!R102</f>
        <v>0</v>
      </c>
      <c r="V76" s="12">
        <f>'CLASSIFICA ORDINATA'!S102</f>
        <v>0</v>
      </c>
      <c r="W76" s="12">
        <f>'CLASSIFICA ORDINATA'!T102</f>
        <v>0</v>
      </c>
      <c r="X76" s="12">
        <f>'CLASSIFICA ORDINATA'!U102</f>
        <v>0</v>
      </c>
      <c r="Y76" s="79">
        <f>'CLASSIFICA ORDINATA'!V102</f>
        <v>0</v>
      </c>
      <c r="Z76" s="80">
        <f>'CLASSIFICA ORDINATA'!AA102</f>
        <v>0</v>
      </c>
    </row>
    <row r="77" spans="1:26" ht="20" customHeight="1" x14ac:dyDescent="0.25">
      <c r="A77" s="75">
        <v>36</v>
      </c>
      <c r="B77" s="78">
        <f>'CLASSIFICA ORDINATA'!B103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ORDINATA'!C103</f>
        <v>0</v>
      </c>
      <c r="G77" s="12">
        <f>'CLASSIFICA ORDINATA'!D103</f>
        <v>0</v>
      </c>
      <c r="H77" s="12">
        <f>'CLASSIFICA ORDINATA'!E103</f>
        <v>0</v>
      </c>
      <c r="I77" s="79">
        <f>'CLASSIFICA ORDINATA'!F103</f>
        <v>0</v>
      </c>
      <c r="J77" s="12">
        <f>'CLASSIFICA ORDINATA'!G103</f>
        <v>0</v>
      </c>
      <c r="K77" s="12">
        <f>'CLASSIFICA ORDINATA'!H103</f>
        <v>0</v>
      </c>
      <c r="L77" s="12">
        <f>'CLASSIFICA ORDINATA'!I103</f>
        <v>0</v>
      </c>
      <c r="M77" s="79">
        <f>'CLASSIFICA ORDINATA'!J103</f>
        <v>0</v>
      </c>
      <c r="N77" s="12">
        <f>'CLASSIFICA ORDINATA'!K103</f>
        <v>0</v>
      </c>
      <c r="O77" s="12">
        <f>'CLASSIFICA ORDINATA'!L103</f>
        <v>0</v>
      </c>
      <c r="P77" s="12">
        <f>'CLASSIFICA ORDINATA'!M103</f>
        <v>0</v>
      </c>
      <c r="Q77" s="79">
        <f>'CLASSIFICA ORDINATA'!N103</f>
        <v>0</v>
      </c>
      <c r="R77" s="12">
        <f>'CLASSIFICA ORDINATA'!O103</f>
        <v>0</v>
      </c>
      <c r="S77" s="12">
        <f>'CLASSIFICA ORDINATA'!P103</f>
        <v>0</v>
      </c>
      <c r="T77" s="12">
        <f>'CLASSIFICA ORDINATA'!Q103</f>
        <v>0</v>
      </c>
      <c r="U77" s="79">
        <f>'CLASSIFICA ORDINATA'!R103</f>
        <v>0</v>
      </c>
      <c r="V77" s="12">
        <f>'CLASSIFICA ORDINATA'!S103</f>
        <v>0</v>
      </c>
      <c r="W77" s="12">
        <f>'CLASSIFICA ORDINATA'!T103</f>
        <v>0</v>
      </c>
      <c r="X77" s="12">
        <f>'CLASSIFICA ORDINATA'!U103</f>
        <v>0</v>
      </c>
      <c r="Y77" s="79">
        <f>'CLASSIFICA ORDINATA'!V103</f>
        <v>0</v>
      </c>
      <c r="Z77" s="80">
        <f>'CLASSIFICA ORDINATA'!AA103</f>
        <v>0</v>
      </c>
    </row>
    <row r="78" spans="1:26" ht="20" customHeight="1" x14ac:dyDescent="0.25">
      <c r="A78" s="75">
        <v>37</v>
      </c>
      <c r="B78" s="78">
        <f>'CLASSIFICA ORDINATA'!B104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ORDINATA'!C104</f>
        <v>0</v>
      </c>
      <c r="G78" s="12">
        <f>'CLASSIFICA ORDINATA'!D104</f>
        <v>0</v>
      </c>
      <c r="H78" s="12">
        <f>'CLASSIFICA ORDINATA'!E104</f>
        <v>0</v>
      </c>
      <c r="I78" s="79">
        <f>'CLASSIFICA ORDINATA'!F104</f>
        <v>0</v>
      </c>
      <c r="J78" s="12">
        <f>'CLASSIFICA ORDINATA'!G104</f>
        <v>0</v>
      </c>
      <c r="K78" s="12">
        <f>'CLASSIFICA ORDINATA'!H104</f>
        <v>0</v>
      </c>
      <c r="L78" s="12">
        <f>'CLASSIFICA ORDINATA'!I104</f>
        <v>0</v>
      </c>
      <c r="M78" s="79">
        <f>'CLASSIFICA ORDINATA'!J104</f>
        <v>0</v>
      </c>
      <c r="N78" s="12">
        <f>'CLASSIFICA ORDINATA'!K104</f>
        <v>0</v>
      </c>
      <c r="O78" s="12">
        <f>'CLASSIFICA ORDINATA'!L104</f>
        <v>0</v>
      </c>
      <c r="P78" s="12">
        <f>'CLASSIFICA ORDINATA'!M104</f>
        <v>0</v>
      </c>
      <c r="Q78" s="79">
        <f>'CLASSIFICA ORDINATA'!N104</f>
        <v>0</v>
      </c>
      <c r="R78" s="12">
        <f>'CLASSIFICA ORDINATA'!O104</f>
        <v>0</v>
      </c>
      <c r="S78" s="12">
        <f>'CLASSIFICA ORDINATA'!P104</f>
        <v>0</v>
      </c>
      <c r="T78" s="12">
        <f>'CLASSIFICA ORDINATA'!Q104</f>
        <v>0</v>
      </c>
      <c r="U78" s="79">
        <f>'CLASSIFICA ORDINATA'!R104</f>
        <v>0</v>
      </c>
      <c r="V78" s="12">
        <f>'CLASSIFICA ORDINATA'!S104</f>
        <v>0</v>
      </c>
      <c r="W78" s="12">
        <f>'CLASSIFICA ORDINATA'!T104</f>
        <v>0</v>
      </c>
      <c r="X78" s="12">
        <f>'CLASSIFICA ORDINATA'!U104</f>
        <v>0</v>
      </c>
      <c r="Y78" s="79">
        <f>'CLASSIFICA ORDINATA'!V104</f>
        <v>0</v>
      </c>
      <c r="Z78" s="80">
        <f>'CLASSIFICA ORDINATA'!AA104</f>
        <v>0</v>
      </c>
    </row>
    <row r="79" spans="1:26" ht="20" customHeight="1" x14ac:dyDescent="0.25">
      <c r="A79" s="75">
        <v>38</v>
      </c>
      <c r="B79" s="78">
        <f>'CLASSIFICA ORDINATA'!B105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ORDINATA'!C105</f>
        <v>0</v>
      </c>
      <c r="G79" s="12">
        <f>'CLASSIFICA ORDINATA'!D105</f>
        <v>0</v>
      </c>
      <c r="H79" s="12">
        <f>'CLASSIFICA ORDINATA'!E105</f>
        <v>0</v>
      </c>
      <c r="I79" s="79">
        <f>'CLASSIFICA ORDINATA'!F105</f>
        <v>0</v>
      </c>
      <c r="J79" s="12">
        <f>'CLASSIFICA ORDINATA'!G105</f>
        <v>0</v>
      </c>
      <c r="K79" s="12">
        <f>'CLASSIFICA ORDINATA'!H105</f>
        <v>0</v>
      </c>
      <c r="L79" s="12">
        <f>'CLASSIFICA ORDINATA'!I105</f>
        <v>0</v>
      </c>
      <c r="M79" s="79">
        <f>'CLASSIFICA ORDINATA'!J105</f>
        <v>0</v>
      </c>
      <c r="N79" s="12">
        <f>'CLASSIFICA ORDINATA'!K105</f>
        <v>0</v>
      </c>
      <c r="O79" s="12">
        <f>'CLASSIFICA ORDINATA'!L105</f>
        <v>0</v>
      </c>
      <c r="P79" s="12">
        <f>'CLASSIFICA ORDINATA'!M105</f>
        <v>0</v>
      </c>
      <c r="Q79" s="79">
        <f>'CLASSIFICA ORDINATA'!N105</f>
        <v>0</v>
      </c>
      <c r="R79" s="12">
        <f>'CLASSIFICA ORDINATA'!O105</f>
        <v>0</v>
      </c>
      <c r="S79" s="12">
        <f>'CLASSIFICA ORDINATA'!P105</f>
        <v>0</v>
      </c>
      <c r="T79" s="12">
        <f>'CLASSIFICA ORDINATA'!Q105</f>
        <v>0</v>
      </c>
      <c r="U79" s="79">
        <f>'CLASSIFICA ORDINATA'!R105</f>
        <v>0</v>
      </c>
      <c r="V79" s="12">
        <f>'CLASSIFICA ORDINATA'!S105</f>
        <v>0</v>
      </c>
      <c r="W79" s="12">
        <f>'CLASSIFICA ORDINATA'!T105</f>
        <v>0</v>
      </c>
      <c r="X79" s="12">
        <f>'CLASSIFICA ORDINATA'!U105</f>
        <v>0</v>
      </c>
      <c r="Y79" s="79">
        <f>'CLASSIFICA ORDINATA'!V105</f>
        <v>0</v>
      </c>
      <c r="Z79" s="80">
        <f>'CLASSIFICA ORDINATA'!AA105</f>
        <v>0</v>
      </c>
    </row>
    <row r="80" spans="1:26" ht="20" customHeight="1" x14ac:dyDescent="0.25">
      <c r="A80" s="75">
        <v>39</v>
      </c>
      <c r="B80" s="78">
        <f>'CLASSIFICA ORDINATA'!B106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ORDINATA'!C106</f>
        <v>0</v>
      </c>
      <c r="G80" s="12">
        <f>'CLASSIFICA ORDINATA'!D106</f>
        <v>0</v>
      </c>
      <c r="H80" s="12">
        <f>'CLASSIFICA ORDINATA'!E106</f>
        <v>0</v>
      </c>
      <c r="I80" s="79">
        <f>'CLASSIFICA ORDINATA'!F106</f>
        <v>0</v>
      </c>
      <c r="J80" s="12">
        <f>'CLASSIFICA ORDINATA'!G106</f>
        <v>0</v>
      </c>
      <c r="K80" s="12">
        <f>'CLASSIFICA ORDINATA'!H106</f>
        <v>0</v>
      </c>
      <c r="L80" s="12">
        <f>'CLASSIFICA ORDINATA'!I106</f>
        <v>0</v>
      </c>
      <c r="M80" s="79">
        <f>'CLASSIFICA ORDINATA'!J106</f>
        <v>0</v>
      </c>
      <c r="N80" s="12">
        <f>'CLASSIFICA ORDINATA'!K106</f>
        <v>0</v>
      </c>
      <c r="O80" s="12">
        <f>'CLASSIFICA ORDINATA'!L106</f>
        <v>0</v>
      </c>
      <c r="P80" s="12">
        <f>'CLASSIFICA ORDINATA'!M106</f>
        <v>0</v>
      </c>
      <c r="Q80" s="79">
        <f>'CLASSIFICA ORDINATA'!N106</f>
        <v>0</v>
      </c>
      <c r="R80" s="12">
        <f>'CLASSIFICA ORDINATA'!O106</f>
        <v>0</v>
      </c>
      <c r="S80" s="12">
        <f>'CLASSIFICA ORDINATA'!P106</f>
        <v>0</v>
      </c>
      <c r="T80" s="12">
        <f>'CLASSIFICA ORDINATA'!Q106</f>
        <v>0</v>
      </c>
      <c r="U80" s="79">
        <f>'CLASSIFICA ORDINATA'!R106</f>
        <v>0</v>
      </c>
      <c r="V80" s="12">
        <f>'CLASSIFICA ORDINATA'!S106</f>
        <v>0</v>
      </c>
      <c r="W80" s="12">
        <f>'CLASSIFICA ORDINATA'!T106</f>
        <v>0</v>
      </c>
      <c r="X80" s="12">
        <f>'CLASSIFICA ORDINATA'!U106</f>
        <v>0</v>
      </c>
      <c r="Y80" s="79">
        <f>'CLASSIFICA ORDINATA'!V106</f>
        <v>0</v>
      </c>
      <c r="Z80" s="80">
        <f>'CLASSIFICA ORDINATA'!AA106</f>
        <v>0</v>
      </c>
    </row>
    <row r="81" spans="1:26" ht="20" customHeight="1" x14ac:dyDescent="0.25">
      <c r="A81" s="75">
        <v>40</v>
      </c>
      <c r="B81" s="78">
        <f>'CLASSIFICA ORDINATA'!B107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ORDINATA'!C107</f>
        <v>0</v>
      </c>
      <c r="G81" s="12">
        <f>'CLASSIFICA ORDINATA'!D107</f>
        <v>0</v>
      </c>
      <c r="H81" s="12">
        <f>'CLASSIFICA ORDINATA'!E107</f>
        <v>0</v>
      </c>
      <c r="I81" s="79">
        <f>'CLASSIFICA ORDINATA'!F107</f>
        <v>0</v>
      </c>
      <c r="J81" s="12">
        <f>'CLASSIFICA ORDINATA'!G107</f>
        <v>0</v>
      </c>
      <c r="K81" s="12">
        <f>'CLASSIFICA ORDINATA'!H107</f>
        <v>0</v>
      </c>
      <c r="L81" s="12">
        <f>'CLASSIFICA ORDINATA'!I107</f>
        <v>0</v>
      </c>
      <c r="M81" s="79">
        <f>'CLASSIFICA ORDINATA'!J107</f>
        <v>0</v>
      </c>
      <c r="N81" s="12">
        <f>'CLASSIFICA ORDINATA'!K107</f>
        <v>0</v>
      </c>
      <c r="O81" s="12">
        <f>'CLASSIFICA ORDINATA'!L107</f>
        <v>0</v>
      </c>
      <c r="P81" s="12">
        <f>'CLASSIFICA ORDINATA'!M107</f>
        <v>0</v>
      </c>
      <c r="Q81" s="79">
        <f>'CLASSIFICA ORDINATA'!N107</f>
        <v>0</v>
      </c>
      <c r="R81" s="12">
        <f>'CLASSIFICA ORDINATA'!O107</f>
        <v>0</v>
      </c>
      <c r="S81" s="12">
        <f>'CLASSIFICA ORDINATA'!P107</f>
        <v>0</v>
      </c>
      <c r="T81" s="12">
        <f>'CLASSIFICA ORDINATA'!Q107</f>
        <v>0</v>
      </c>
      <c r="U81" s="79">
        <f>'CLASSIFICA ORDINATA'!R107</f>
        <v>0</v>
      </c>
      <c r="V81" s="12">
        <f>'CLASSIFICA ORDINATA'!S107</f>
        <v>0</v>
      </c>
      <c r="W81" s="12">
        <f>'CLASSIFICA ORDINATA'!T107</f>
        <v>0</v>
      </c>
      <c r="X81" s="12">
        <f>'CLASSIFICA ORDINATA'!U107</f>
        <v>0</v>
      </c>
      <c r="Y81" s="79">
        <f>'CLASSIFICA ORDINATA'!V107</f>
        <v>0</v>
      </c>
      <c r="Z81" s="80">
        <f>'CLASSIFICA ORDINATA'!AA107</f>
        <v>0</v>
      </c>
    </row>
    <row r="82" spans="1:26" ht="20" customHeight="1" x14ac:dyDescent="0.25">
      <c r="A82" s="75">
        <v>41</v>
      </c>
      <c r="B82" s="78">
        <f>'CLASSIFICA ORDINATA'!B108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ORDINATA'!C108</f>
        <v>0</v>
      </c>
      <c r="G82" s="12">
        <f>'CLASSIFICA ORDINATA'!D108</f>
        <v>0</v>
      </c>
      <c r="H82" s="12">
        <f>'CLASSIFICA ORDINATA'!E108</f>
        <v>0</v>
      </c>
      <c r="I82" s="79">
        <f>'CLASSIFICA ORDINATA'!F108</f>
        <v>0</v>
      </c>
      <c r="J82" s="12">
        <f>'CLASSIFICA ORDINATA'!G108</f>
        <v>0</v>
      </c>
      <c r="K82" s="12">
        <f>'CLASSIFICA ORDINATA'!H108</f>
        <v>0</v>
      </c>
      <c r="L82" s="12">
        <f>'CLASSIFICA ORDINATA'!I108</f>
        <v>0</v>
      </c>
      <c r="M82" s="79">
        <f>'CLASSIFICA ORDINATA'!J108</f>
        <v>0</v>
      </c>
      <c r="N82" s="12">
        <f>'CLASSIFICA ORDINATA'!K108</f>
        <v>0</v>
      </c>
      <c r="O82" s="12">
        <f>'CLASSIFICA ORDINATA'!L108</f>
        <v>0</v>
      </c>
      <c r="P82" s="12">
        <f>'CLASSIFICA ORDINATA'!M108</f>
        <v>0</v>
      </c>
      <c r="Q82" s="79">
        <f>'CLASSIFICA ORDINATA'!N108</f>
        <v>0</v>
      </c>
      <c r="R82" s="12">
        <f>'CLASSIFICA ORDINATA'!O108</f>
        <v>0</v>
      </c>
      <c r="S82" s="12">
        <f>'CLASSIFICA ORDINATA'!P108</f>
        <v>0</v>
      </c>
      <c r="T82" s="12">
        <f>'CLASSIFICA ORDINATA'!Q108</f>
        <v>0</v>
      </c>
      <c r="U82" s="79">
        <f>'CLASSIFICA ORDINATA'!R108</f>
        <v>0</v>
      </c>
      <c r="V82" s="12">
        <f>'CLASSIFICA ORDINATA'!S108</f>
        <v>0</v>
      </c>
      <c r="W82" s="12">
        <f>'CLASSIFICA ORDINATA'!T108</f>
        <v>0</v>
      </c>
      <c r="X82" s="12">
        <f>'CLASSIFICA ORDINATA'!U108</f>
        <v>0</v>
      </c>
      <c r="Y82" s="79">
        <f>'CLASSIFICA ORDINATA'!V108</f>
        <v>0</v>
      </c>
      <c r="Z82" s="80">
        <f>'CLASSIFICA ORDINATA'!AA108</f>
        <v>0</v>
      </c>
    </row>
    <row r="83" spans="1:26" ht="20" customHeight="1" x14ac:dyDescent="0.25">
      <c r="A83" s="75">
        <v>42</v>
      </c>
      <c r="B83" s="78">
        <f>'CLASSIFICA ORDINATA'!B109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ORDINATA'!C109</f>
        <v>0</v>
      </c>
      <c r="G83" s="12">
        <f>'CLASSIFICA ORDINATA'!D109</f>
        <v>0</v>
      </c>
      <c r="H83" s="12">
        <f>'CLASSIFICA ORDINATA'!E109</f>
        <v>0</v>
      </c>
      <c r="I83" s="79">
        <f>'CLASSIFICA ORDINATA'!F109</f>
        <v>0</v>
      </c>
      <c r="J83" s="12">
        <f>'CLASSIFICA ORDINATA'!G109</f>
        <v>0</v>
      </c>
      <c r="K83" s="12">
        <f>'CLASSIFICA ORDINATA'!H109</f>
        <v>0</v>
      </c>
      <c r="L83" s="12">
        <f>'CLASSIFICA ORDINATA'!I109</f>
        <v>0</v>
      </c>
      <c r="M83" s="79">
        <f>'CLASSIFICA ORDINATA'!J109</f>
        <v>0</v>
      </c>
      <c r="N83" s="12">
        <f>'CLASSIFICA ORDINATA'!K109</f>
        <v>0</v>
      </c>
      <c r="O83" s="12">
        <f>'CLASSIFICA ORDINATA'!L109</f>
        <v>0</v>
      </c>
      <c r="P83" s="12">
        <f>'CLASSIFICA ORDINATA'!M109</f>
        <v>0</v>
      </c>
      <c r="Q83" s="79">
        <f>'CLASSIFICA ORDINATA'!N109</f>
        <v>0</v>
      </c>
      <c r="R83" s="12">
        <f>'CLASSIFICA ORDINATA'!O109</f>
        <v>0</v>
      </c>
      <c r="S83" s="12">
        <f>'CLASSIFICA ORDINATA'!P109</f>
        <v>0</v>
      </c>
      <c r="T83" s="12">
        <f>'CLASSIFICA ORDINATA'!Q109</f>
        <v>0</v>
      </c>
      <c r="U83" s="79">
        <f>'CLASSIFICA ORDINATA'!R109</f>
        <v>0</v>
      </c>
      <c r="V83" s="12">
        <f>'CLASSIFICA ORDINATA'!S109</f>
        <v>0</v>
      </c>
      <c r="W83" s="12">
        <f>'CLASSIFICA ORDINATA'!T109</f>
        <v>0</v>
      </c>
      <c r="X83" s="12">
        <f>'CLASSIFICA ORDINATA'!U109</f>
        <v>0</v>
      </c>
      <c r="Y83" s="79">
        <f>'CLASSIFICA ORDINATA'!V109</f>
        <v>0</v>
      </c>
      <c r="Z83" s="80">
        <f>'CLASSIFICA ORDINATA'!AA109</f>
        <v>0</v>
      </c>
    </row>
    <row r="84" spans="1:26" ht="20" customHeight="1" x14ac:dyDescent="0.25">
      <c r="A84" s="75">
        <v>43</v>
      </c>
      <c r="B84" s="78">
        <f>'CLASSIFICA ORDINATA'!B110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ORDINATA'!C110</f>
        <v>0</v>
      </c>
      <c r="G84" s="12">
        <f>'CLASSIFICA ORDINATA'!D110</f>
        <v>0</v>
      </c>
      <c r="H84" s="12">
        <f>'CLASSIFICA ORDINATA'!E110</f>
        <v>0</v>
      </c>
      <c r="I84" s="79">
        <f>'CLASSIFICA ORDINATA'!F110</f>
        <v>0</v>
      </c>
      <c r="J84" s="12">
        <f>'CLASSIFICA ORDINATA'!G110</f>
        <v>0</v>
      </c>
      <c r="K84" s="12">
        <f>'CLASSIFICA ORDINATA'!H110</f>
        <v>0</v>
      </c>
      <c r="L84" s="12">
        <f>'CLASSIFICA ORDINATA'!I110</f>
        <v>0</v>
      </c>
      <c r="M84" s="79">
        <f>'CLASSIFICA ORDINATA'!J110</f>
        <v>0</v>
      </c>
      <c r="N84" s="12">
        <f>'CLASSIFICA ORDINATA'!K110</f>
        <v>0</v>
      </c>
      <c r="O84" s="12">
        <f>'CLASSIFICA ORDINATA'!L110</f>
        <v>0</v>
      </c>
      <c r="P84" s="12">
        <f>'CLASSIFICA ORDINATA'!M110</f>
        <v>0</v>
      </c>
      <c r="Q84" s="79">
        <f>'CLASSIFICA ORDINATA'!N110</f>
        <v>0</v>
      </c>
      <c r="R84" s="12">
        <f>'CLASSIFICA ORDINATA'!O110</f>
        <v>0</v>
      </c>
      <c r="S84" s="12">
        <f>'CLASSIFICA ORDINATA'!P110</f>
        <v>0</v>
      </c>
      <c r="T84" s="12">
        <f>'CLASSIFICA ORDINATA'!Q110</f>
        <v>0</v>
      </c>
      <c r="U84" s="79">
        <f>'CLASSIFICA ORDINATA'!R110</f>
        <v>0</v>
      </c>
      <c r="V84" s="12">
        <f>'CLASSIFICA ORDINATA'!S110</f>
        <v>0</v>
      </c>
      <c r="W84" s="12">
        <f>'CLASSIFICA ORDINATA'!T110</f>
        <v>0</v>
      </c>
      <c r="X84" s="12">
        <f>'CLASSIFICA ORDINATA'!U110</f>
        <v>0</v>
      </c>
      <c r="Y84" s="79">
        <f>'CLASSIFICA ORDINATA'!V110</f>
        <v>0</v>
      </c>
      <c r="Z84" s="80">
        <f>'CLASSIFICA ORDINATA'!AA110</f>
        <v>0</v>
      </c>
    </row>
    <row r="85" spans="1:26" ht="20" customHeight="1" x14ac:dyDescent="0.25">
      <c r="A85" s="75">
        <v>44</v>
      </c>
      <c r="B85" s="78">
        <f>'CLASSIFICA ORDINATA'!B111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ORDINATA'!C111</f>
        <v>0</v>
      </c>
      <c r="G85" s="12">
        <f>'CLASSIFICA ORDINATA'!D111</f>
        <v>0</v>
      </c>
      <c r="H85" s="12">
        <f>'CLASSIFICA ORDINATA'!E111</f>
        <v>0</v>
      </c>
      <c r="I85" s="79">
        <f>'CLASSIFICA ORDINATA'!F111</f>
        <v>0</v>
      </c>
      <c r="J85" s="12">
        <f>'CLASSIFICA ORDINATA'!G111</f>
        <v>0</v>
      </c>
      <c r="K85" s="12">
        <f>'CLASSIFICA ORDINATA'!H111</f>
        <v>0</v>
      </c>
      <c r="L85" s="12">
        <f>'CLASSIFICA ORDINATA'!I111</f>
        <v>0</v>
      </c>
      <c r="M85" s="79">
        <f>'CLASSIFICA ORDINATA'!J111</f>
        <v>0</v>
      </c>
      <c r="N85" s="12">
        <f>'CLASSIFICA ORDINATA'!K111</f>
        <v>0</v>
      </c>
      <c r="O85" s="12">
        <f>'CLASSIFICA ORDINATA'!L111</f>
        <v>0</v>
      </c>
      <c r="P85" s="12">
        <f>'CLASSIFICA ORDINATA'!M111</f>
        <v>0</v>
      </c>
      <c r="Q85" s="79">
        <f>'CLASSIFICA ORDINATA'!N111</f>
        <v>0</v>
      </c>
      <c r="R85" s="12">
        <f>'CLASSIFICA ORDINATA'!O111</f>
        <v>0</v>
      </c>
      <c r="S85" s="12">
        <f>'CLASSIFICA ORDINATA'!P111</f>
        <v>0</v>
      </c>
      <c r="T85" s="12">
        <f>'CLASSIFICA ORDINATA'!Q111</f>
        <v>0</v>
      </c>
      <c r="U85" s="79">
        <f>'CLASSIFICA ORDINATA'!R111</f>
        <v>0</v>
      </c>
      <c r="V85" s="12">
        <f>'CLASSIFICA ORDINATA'!S111</f>
        <v>0</v>
      </c>
      <c r="W85" s="12">
        <f>'CLASSIFICA ORDINATA'!T111</f>
        <v>0</v>
      </c>
      <c r="X85" s="12">
        <f>'CLASSIFICA ORDINATA'!U111</f>
        <v>0</v>
      </c>
      <c r="Y85" s="79">
        <f>'CLASSIFICA ORDINATA'!V111</f>
        <v>0</v>
      </c>
      <c r="Z85" s="80">
        <f>'CLASSIFICA ORDINATA'!AA111</f>
        <v>0</v>
      </c>
    </row>
    <row r="86" spans="1:26" ht="20" customHeight="1" x14ac:dyDescent="0.25">
      <c r="A86" s="75">
        <v>45</v>
      </c>
      <c r="B86" s="78">
        <f>'CLASSIFICA ORDINATA'!B112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ORDINATA'!C112</f>
        <v>0</v>
      </c>
      <c r="G86" s="12">
        <f>'CLASSIFICA ORDINATA'!D112</f>
        <v>0</v>
      </c>
      <c r="H86" s="12">
        <f>'CLASSIFICA ORDINATA'!E112</f>
        <v>0</v>
      </c>
      <c r="I86" s="79">
        <f>'CLASSIFICA ORDINATA'!F112</f>
        <v>0</v>
      </c>
      <c r="J86" s="12">
        <f>'CLASSIFICA ORDINATA'!G112</f>
        <v>0</v>
      </c>
      <c r="K86" s="12">
        <f>'CLASSIFICA ORDINATA'!H112</f>
        <v>0</v>
      </c>
      <c r="L86" s="12">
        <f>'CLASSIFICA ORDINATA'!I112</f>
        <v>0</v>
      </c>
      <c r="M86" s="79">
        <f>'CLASSIFICA ORDINATA'!J112</f>
        <v>0</v>
      </c>
      <c r="N86" s="12">
        <f>'CLASSIFICA ORDINATA'!K112</f>
        <v>0</v>
      </c>
      <c r="O86" s="12">
        <f>'CLASSIFICA ORDINATA'!L112</f>
        <v>0</v>
      </c>
      <c r="P86" s="12">
        <f>'CLASSIFICA ORDINATA'!M112</f>
        <v>0</v>
      </c>
      <c r="Q86" s="79">
        <f>'CLASSIFICA ORDINATA'!N112</f>
        <v>0</v>
      </c>
      <c r="R86" s="12">
        <f>'CLASSIFICA ORDINATA'!O112</f>
        <v>0</v>
      </c>
      <c r="S86" s="12">
        <f>'CLASSIFICA ORDINATA'!P112</f>
        <v>0</v>
      </c>
      <c r="T86" s="12">
        <f>'CLASSIFICA ORDINATA'!Q112</f>
        <v>0</v>
      </c>
      <c r="U86" s="79">
        <f>'CLASSIFICA ORDINATA'!R112</f>
        <v>0</v>
      </c>
      <c r="V86" s="12">
        <f>'CLASSIFICA ORDINATA'!S112</f>
        <v>0</v>
      </c>
      <c r="W86" s="12">
        <f>'CLASSIFICA ORDINATA'!T112</f>
        <v>0</v>
      </c>
      <c r="X86" s="12">
        <f>'CLASSIFICA ORDINATA'!U112</f>
        <v>0</v>
      </c>
      <c r="Y86" s="79">
        <f>'CLASSIFICA ORDINATA'!V112</f>
        <v>0</v>
      </c>
      <c r="Z86" s="80">
        <f>'CLASSIFICA ORDINATA'!AA112</f>
        <v>0</v>
      </c>
    </row>
    <row r="87" spans="1:26" ht="20" customHeight="1" x14ac:dyDescent="0.25">
      <c r="A87" s="75">
        <v>46</v>
      </c>
      <c r="B87" s="78">
        <f>'CLASSIFICA ORDINATA'!B113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ORDINATA'!C113</f>
        <v>0</v>
      </c>
      <c r="G87" s="12">
        <f>'CLASSIFICA ORDINATA'!D113</f>
        <v>0</v>
      </c>
      <c r="H87" s="12">
        <f>'CLASSIFICA ORDINATA'!E113</f>
        <v>0</v>
      </c>
      <c r="I87" s="79">
        <f>'CLASSIFICA ORDINATA'!F113</f>
        <v>0</v>
      </c>
      <c r="J87" s="12">
        <f>'CLASSIFICA ORDINATA'!G113</f>
        <v>0</v>
      </c>
      <c r="K87" s="12">
        <f>'CLASSIFICA ORDINATA'!H113</f>
        <v>0</v>
      </c>
      <c r="L87" s="12">
        <f>'CLASSIFICA ORDINATA'!I113</f>
        <v>0</v>
      </c>
      <c r="M87" s="79">
        <f>'CLASSIFICA ORDINATA'!J113</f>
        <v>0</v>
      </c>
      <c r="N87" s="12">
        <f>'CLASSIFICA ORDINATA'!K113</f>
        <v>0</v>
      </c>
      <c r="O87" s="12">
        <f>'CLASSIFICA ORDINATA'!L113</f>
        <v>0</v>
      </c>
      <c r="P87" s="12">
        <f>'CLASSIFICA ORDINATA'!M113</f>
        <v>0</v>
      </c>
      <c r="Q87" s="79">
        <f>'CLASSIFICA ORDINATA'!N113</f>
        <v>0</v>
      </c>
      <c r="R87" s="12">
        <f>'CLASSIFICA ORDINATA'!O113</f>
        <v>0</v>
      </c>
      <c r="S87" s="12">
        <f>'CLASSIFICA ORDINATA'!P113</f>
        <v>0</v>
      </c>
      <c r="T87" s="12">
        <f>'CLASSIFICA ORDINATA'!Q113</f>
        <v>0</v>
      </c>
      <c r="U87" s="79">
        <f>'CLASSIFICA ORDINATA'!R113</f>
        <v>0</v>
      </c>
      <c r="V87" s="12">
        <f>'CLASSIFICA ORDINATA'!S113</f>
        <v>0</v>
      </c>
      <c r="W87" s="12">
        <f>'CLASSIFICA ORDINATA'!T113</f>
        <v>0</v>
      </c>
      <c r="X87" s="12">
        <f>'CLASSIFICA ORDINATA'!U113</f>
        <v>0</v>
      </c>
      <c r="Y87" s="79">
        <f>'CLASSIFICA ORDINATA'!V113</f>
        <v>0</v>
      </c>
      <c r="Z87" s="80">
        <f>'CLASSIFICA ORDINATA'!AA113</f>
        <v>0</v>
      </c>
    </row>
    <row r="88" spans="1:26" ht="20" customHeight="1" x14ac:dyDescent="0.25">
      <c r="A88" s="75">
        <v>47</v>
      </c>
      <c r="B88" s="78">
        <f>'CLASSIFICA ORDINATA'!B114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ORDINATA'!C114</f>
        <v>0</v>
      </c>
      <c r="G88" s="12">
        <f>'CLASSIFICA ORDINATA'!D114</f>
        <v>0</v>
      </c>
      <c r="H88" s="12">
        <f>'CLASSIFICA ORDINATA'!E114</f>
        <v>0</v>
      </c>
      <c r="I88" s="79">
        <f>'CLASSIFICA ORDINATA'!F114</f>
        <v>0</v>
      </c>
      <c r="J88" s="12">
        <f>'CLASSIFICA ORDINATA'!G114</f>
        <v>0</v>
      </c>
      <c r="K88" s="12">
        <f>'CLASSIFICA ORDINATA'!H114</f>
        <v>0</v>
      </c>
      <c r="L88" s="12">
        <f>'CLASSIFICA ORDINATA'!I114</f>
        <v>0</v>
      </c>
      <c r="M88" s="79">
        <f>'CLASSIFICA ORDINATA'!J114</f>
        <v>0</v>
      </c>
      <c r="N88" s="12">
        <f>'CLASSIFICA ORDINATA'!K114</f>
        <v>0</v>
      </c>
      <c r="O88" s="12">
        <f>'CLASSIFICA ORDINATA'!L114</f>
        <v>0</v>
      </c>
      <c r="P88" s="12">
        <f>'CLASSIFICA ORDINATA'!M114</f>
        <v>0</v>
      </c>
      <c r="Q88" s="79">
        <f>'CLASSIFICA ORDINATA'!N114</f>
        <v>0</v>
      </c>
      <c r="R88" s="12">
        <f>'CLASSIFICA ORDINATA'!O114</f>
        <v>0</v>
      </c>
      <c r="S88" s="12">
        <f>'CLASSIFICA ORDINATA'!P114</f>
        <v>0</v>
      </c>
      <c r="T88" s="12">
        <f>'CLASSIFICA ORDINATA'!Q114</f>
        <v>0</v>
      </c>
      <c r="U88" s="79">
        <f>'CLASSIFICA ORDINATA'!R114</f>
        <v>0</v>
      </c>
      <c r="V88" s="12">
        <f>'CLASSIFICA ORDINATA'!S114</f>
        <v>0</v>
      </c>
      <c r="W88" s="12">
        <f>'CLASSIFICA ORDINATA'!T114</f>
        <v>0</v>
      </c>
      <c r="X88" s="12">
        <f>'CLASSIFICA ORDINATA'!U114</f>
        <v>0</v>
      </c>
      <c r="Y88" s="79">
        <f>'CLASSIFICA ORDINATA'!V114</f>
        <v>0</v>
      </c>
      <c r="Z88" s="80">
        <f>'CLASSIFICA ORDINATA'!AA114</f>
        <v>0</v>
      </c>
    </row>
    <row r="89" spans="1:26" ht="20" customHeight="1" x14ac:dyDescent="0.25">
      <c r="A89" s="75">
        <v>48</v>
      </c>
      <c r="B89" s="78">
        <f>'CLASSIFICA ORDINATA'!B115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ORDINATA'!C115</f>
        <v>0</v>
      </c>
      <c r="G89" s="12">
        <f>'CLASSIFICA ORDINATA'!D115</f>
        <v>0</v>
      </c>
      <c r="H89" s="12">
        <f>'CLASSIFICA ORDINATA'!E115</f>
        <v>0</v>
      </c>
      <c r="I89" s="79">
        <f>'CLASSIFICA ORDINATA'!F115</f>
        <v>0</v>
      </c>
      <c r="J89" s="12">
        <f>'CLASSIFICA ORDINATA'!G115</f>
        <v>0</v>
      </c>
      <c r="K89" s="12">
        <f>'CLASSIFICA ORDINATA'!H115</f>
        <v>0</v>
      </c>
      <c r="L89" s="12">
        <f>'CLASSIFICA ORDINATA'!I115</f>
        <v>0</v>
      </c>
      <c r="M89" s="79">
        <f>'CLASSIFICA ORDINATA'!J115</f>
        <v>0</v>
      </c>
      <c r="N89" s="12">
        <f>'CLASSIFICA ORDINATA'!K115</f>
        <v>0</v>
      </c>
      <c r="O89" s="12">
        <f>'CLASSIFICA ORDINATA'!L115</f>
        <v>0</v>
      </c>
      <c r="P89" s="12">
        <f>'CLASSIFICA ORDINATA'!M115</f>
        <v>0</v>
      </c>
      <c r="Q89" s="79">
        <f>'CLASSIFICA ORDINATA'!N115</f>
        <v>0</v>
      </c>
      <c r="R89" s="12">
        <f>'CLASSIFICA ORDINATA'!O115</f>
        <v>0</v>
      </c>
      <c r="S89" s="12">
        <f>'CLASSIFICA ORDINATA'!P115</f>
        <v>0</v>
      </c>
      <c r="T89" s="12">
        <f>'CLASSIFICA ORDINATA'!Q115</f>
        <v>0</v>
      </c>
      <c r="U89" s="79">
        <f>'CLASSIFICA ORDINATA'!R115</f>
        <v>0</v>
      </c>
      <c r="V89" s="12">
        <f>'CLASSIFICA ORDINATA'!S115</f>
        <v>0</v>
      </c>
      <c r="W89" s="12">
        <f>'CLASSIFICA ORDINATA'!T115</f>
        <v>0</v>
      </c>
      <c r="X89" s="12">
        <f>'CLASSIFICA ORDINATA'!U115</f>
        <v>0</v>
      </c>
      <c r="Y89" s="79">
        <f>'CLASSIFICA ORDINATA'!V115</f>
        <v>0</v>
      </c>
      <c r="Z89" s="80">
        <f>'CLASSIFICA ORDINATA'!AA115</f>
        <v>0</v>
      </c>
    </row>
    <row r="90" spans="1:26" ht="20" customHeight="1" x14ac:dyDescent="0.25">
      <c r="A90" s="75">
        <v>49</v>
      </c>
      <c r="B90" s="78">
        <f>'CLASSIFICA ORDINATA'!B116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ORDINATA'!C116</f>
        <v>0</v>
      </c>
      <c r="G90" s="12">
        <f>'CLASSIFICA ORDINATA'!D116</f>
        <v>0</v>
      </c>
      <c r="H90" s="12">
        <f>'CLASSIFICA ORDINATA'!E116</f>
        <v>0</v>
      </c>
      <c r="I90" s="79">
        <f>'CLASSIFICA ORDINATA'!F116</f>
        <v>0</v>
      </c>
      <c r="J90" s="12">
        <f>'CLASSIFICA ORDINATA'!G116</f>
        <v>0</v>
      </c>
      <c r="K90" s="12">
        <f>'CLASSIFICA ORDINATA'!H116</f>
        <v>0</v>
      </c>
      <c r="L90" s="12">
        <f>'CLASSIFICA ORDINATA'!I116</f>
        <v>0</v>
      </c>
      <c r="M90" s="79">
        <f>'CLASSIFICA ORDINATA'!J116</f>
        <v>0</v>
      </c>
      <c r="N90" s="12">
        <f>'CLASSIFICA ORDINATA'!K116</f>
        <v>0</v>
      </c>
      <c r="O90" s="12">
        <f>'CLASSIFICA ORDINATA'!L116</f>
        <v>0</v>
      </c>
      <c r="P90" s="12">
        <f>'CLASSIFICA ORDINATA'!M116</f>
        <v>0</v>
      </c>
      <c r="Q90" s="79">
        <f>'CLASSIFICA ORDINATA'!N116</f>
        <v>0</v>
      </c>
      <c r="R90" s="12">
        <f>'CLASSIFICA ORDINATA'!O116</f>
        <v>0</v>
      </c>
      <c r="S90" s="12">
        <f>'CLASSIFICA ORDINATA'!P116</f>
        <v>0</v>
      </c>
      <c r="T90" s="12">
        <f>'CLASSIFICA ORDINATA'!Q116</f>
        <v>0</v>
      </c>
      <c r="U90" s="79">
        <f>'CLASSIFICA ORDINATA'!R116</f>
        <v>0</v>
      </c>
      <c r="V90" s="12">
        <f>'CLASSIFICA ORDINATA'!S116</f>
        <v>0</v>
      </c>
      <c r="W90" s="12">
        <f>'CLASSIFICA ORDINATA'!T116</f>
        <v>0</v>
      </c>
      <c r="X90" s="12">
        <f>'CLASSIFICA ORDINATA'!U116</f>
        <v>0</v>
      </c>
      <c r="Y90" s="79">
        <f>'CLASSIFICA ORDINATA'!V116</f>
        <v>0</v>
      </c>
      <c r="Z90" s="80">
        <f>'CLASSIFICA ORDINATA'!AA116</f>
        <v>0</v>
      </c>
    </row>
    <row r="91" spans="1:26" ht="20" customHeight="1" x14ac:dyDescent="0.25">
      <c r="A91" s="75">
        <v>50</v>
      </c>
      <c r="B91" s="78">
        <f>'CLASSIFICA ORDINATA'!B117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ORDINATA'!C117</f>
        <v>0</v>
      </c>
      <c r="G91" s="12">
        <f>'CLASSIFICA ORDINATA'!D117</f>
        <v>0</v>
      </c>
      <c r="H91" s="12">
        <f>'CLASSIFICA ORDINATA'!E117</f>
        <v>0</v>
      </c>
      <c r="I91" s="79">
        <f>'CLASSIFICA ORDINATA'!F117</f>
        <v>0</v>
      </c>
      <c r="J91" s="12">
        <f>'CLASSIFICA ORDINATA'!G117</f>
        <v>0</v>
      </c>
      <c r="K91" s="12">
        <f>'CLASSIFICA ORDINATA'!H117</f>
        <v>0</v>
      </c>
      <c r="L91" s="12">
        <f>'CLASSIFICA ORDINATA'!I117</f>
        <v>0</v>
      </c>
      <c r="M91" s="79">
        <f>'CLASSIFICA ORDINATA'!J117</f>
        <v>0</v>
      </c>
      <c r="N91" s="12">
        <f>'CLASSIFICA ORDINATA'!K117</f>
        <v>0</v>
      </c>
      <c r="O91" s="12">
        <f>'CLASSIFICA ORDINATA'!L117</f>
        <v>0</v>
      </c>
      <c r="P91" s="12">
        <f>'CLASSIFICA ORDINATA'!M117</f>
        <v>0</v>
      </c>
      <c r="Q91" s="79">
        <f>'CLASSIFICA ORDINATA'!N117</f>
        <v>0</v>
      </c>
      <c r="R91" s="12">
        <f>'CLASSIFICA ORDINATA'!O117</f>
        <v>0</v>
      </c>
      <c r="S91" s="12">
        <f>'CLASSIFICA ORDINATA'!P117</f>
        <v>0</v>
      </c>
      <c r="T91" s="12">
        <f>'CLASSIFICA ORDINATA'!Q117</f>
        <v>0</v>
      </c>
      <c r="U91" s="79">
        <f>'CLASSIFICA ORDINATA'!R117</f>
        <v>0</v>
      </c>
      <c r="V91" s="12">
        <f>'CLASSIFICA ORDINATA'!S117</f>
        <v>0</v>
      </c>
      <c r="W91" s="12">
        <f>'CLASSIFICA ORDINATA'!T117</f>
        <v>0</v>
      </c>
      <c r="X91" s="12">
        <f>'CLASSIFICA ORDINATA'!U117</f>
        <v>0</v>
      </c>
      <c r="Y91" s="79">
        <f>'CLASSIFICA ORDINATA'!V117</f>
        <v>0</v>
      </c>
      <c r="Z91" s="80">
        <f>'CLASSIFICA ORDINATA'!AA117</f>
        <v>0</v>
      </c>
    </row>
    <row r="92" spans="1:26" ht="20" customHeight="1" x14ac:dyDescent="0.25">
      <c r="A92" s="75">
        <v>51</v>
      </c>
      <c r="B92" s="78">
        <f>'CLASSIFICA ORDINATA'!B118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ORDINATA'!C118</f>
        <v>0</v>
      </c>
      <c r="G92" s="12">
        <f>'CLASSIFICA ORDINATA'!D118</f>
        <v>0</v>
      </c>
      <c r="H92" s="12">
        <f>'CLASSIFICA ORDINATA'!E118</f>
        <v>0</v>
      </c>
      <c r="I92" s="79">
        <f>'CLASSIFICA ORDINATA'!F118</f>
        <v>0</v>
      </c>
      <c r="J92" s="12">
        <f>'CLASSIFICA ORDINATA'!G118</f>
        <v>0</v>
      </c>
      <c r="K92" s="12">
        <f>'CLASSIFICA ORDINATA'!H118</f>
        <v>0</v>
      </c>
      <c r="L92" s="12">
        <f>'CLASSIFICA ORDINATA'!I118</f>
        <v>0</v>
      </c>
      <c r="M92" s="79">
        <f>'CLASSIFICA ORDINATA'!J118</f>
        <v>0</v>
      </c>
      <c r="N92" s="12">
        <f>'CLASSIFICA ORDINATA'!K118</f>
        <v>0</v>
      </c>
      <c r="O92" s="12">
        <f>'CLASSIFICA ORDINATA'!L118</f>
        <v>0</v>
      </c>
      <c r="P92" s="12">
        <f>'CLASSIFICA ORDINATA'!M118</f>
        <v>0</v>
      </c>
      <c r="Q92" s="79">
        <f>'CLASSIFICA ORDINATA'!N118</f>
        <v>0</v>
      </c>
      <c r="R92" s="12">
        <f>'CLASSIFICA ORDINATA'!O118</f>
        <v>0</v>
      </c>
      <c r="S92" s="12">
        <f>'CLASSIFICA ORDINATA'!P118</f>
        <v>0</v>
      </c>
      <c r="T92" s="12">
        <f>'CLASSIFICA ORDINATA'!Q118</f>
        <v>0</v>
      </c>
      <c r="U92" s="79">
        <f>'CLASSIFICA ORDINATA'!R118</f>
        <v>0</v>
      </c>
      <c r="V92" s="12">
        <f>'CLASSIFICA ORDINATA'!S118</f>
        <v>0</v>
      </c>
      <c r="W92" s="12">
        <f>'CLASSIFICA ORDINATA'!T118</f>
        <v>0</v>
      </c>
      <c r="X92" s="12">
        <f>'CLASSIFICA ORDINATA'!U118</f>
        <v>0</v>
      </c>
      <c r="Y92" s="79">
        <f>'CLASSIFICA ORDINATA'!V118</f>
        <v>0</v>
      </c>
      <c r="Z92" s="80">
        <f>'CLASSIFICA ORDINATA'!AA118</f>
        <v>0</v>
      </c>
    </row>
    <row r="93" spans="1:26" ht="20" customHeight="1" x14ac:dyDescent="0.25">
      <c r="A93" s="75">
        <v>52</v>
      </c>
      <c r="B93" s="78">
        <f>'CLASSIFICA ORDINATA'!B119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ORDINATA'!C119</f>
        <v>0</v>
      </c>
      <c r="G93" s="12">
        <f>'CLASSIFICA ORDINATA'!D119</f>
        <v>0</v>
      </c>
      <c r="H93" s="12">
        <f>'CLASSIFICA ORDINATA'!E119</f>
        <v>0</v>
      </c>
      <c r="I93" s="79">
        <f>'CLASSIFICA ORDINATA'!F119</f>
        <v>0</v>
      </c>
      <c r="J93" s="12">
        <f>'CLASSIFICA ORDINATA'!G119</f>
        <v>0</v>
      </c>
      <c r="K93" s="12">
        <f>'CLASSIFICA ORDINATA'!H119</f>
        <v>0</v>
      </c>
      <c r="L93" s="12">
        <f>'CLASSIFICA ORDINATA'!I119</f>
        <v>0</v>
      </c>
      <c r="M93" s="79">
        <f>'CLASSIFICA ORDINATA'!J119</f>
        <v>0</v>
      </c>
      <c r="N93" s="12">
        <f>'CLASSIFICA ORDINATA'!K119</f>
        <v>0</v>
      </c>
      <c r="O93" s="12">
        <f>'CLASSIFICA ORDINATA'!L119</f>
        <v>0</v>
      </c>
      <c r="P93" s="12">
        <f>'CLASSIFICA ORDINATA'!M119</f>
        <v>0</v>
      </c>
      <c r="Q93" s="79">
        <f>'CLASSIFICA ORDINATA'!N119</f>
        <v>0</v>
      </c>
      <c r="R93" s="12">
        <f>'CLASSIFICA ORDINATA'!O119</f>
        <v>0</v>
      </c>
      <c r="S93" s="12">
        <f>'CLASSIFICA ORDINATA'!P119</f>
        <v>0</v>
      </c>
      <c r="T93" s="12">
        <f>'CLASSIFICA ORDINATA'!Q119</f>
        <v>0</v>
      </c>
      <c r="U93" s="79">
        <f>'CLASSIFICA ORDINATA'!R119</f>
        <v>0</v>
      </c>
      <c r="V93" s="12">
        <f>'CLASSIFICA ORDINATA'!S119</f>
        <v>0</v>
      </c>
      <c r="W93" s="12">
        <f>'CLASSIFICA ORDINATA'!T119</f>
        <v>0</v>
      </c>
      <c r="X93" s="12">
        <f>'CLASSIFICA ORDINATA'!U119</f>
        <v>0</v>
      </c>
      <c r="Y93" s="79">
        <f>'CLASSIFICA ORDINATA'!V119</f>
        <v>0</v>
      </c>
      <c r="Z93" s="80">
        <f>'CLASSIFICA ORDINATA'!AA119</f>
        <v>0</v>
      </c>
    </row>
    <row r="94" spans="1:26" ht="20" customHeight="1" x14ac:dyDescent="0.25">
      <c r="A94" s="75">
        <v>53</v>
      </c>
      <c r="B94" s="78">
        <f>'CLASSIFICA ORDINATA'!B120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ORDINATA'!C120</f>
        <v>0</v>
      </c>
      <c r="G94" s="12">
        <f>'CLASSIFICA ORDINATA'!D120</f>
        <v>0</v>
      </c>
      <c r="H94" s="12">
        <f>'CLASSIFICA ORDINATA'!E120</f>
        <v>0</v>
      </c>
      <c r="I94" s="79">
        <f>'CLASSIFICA ORDINATA'!F120</f>
        <v>0</v>
      </c>
      <c r="J94" s="12">
        <f>'CLASSIFICA ORDINATA'!G120</f>
        <v>0</v>
      </c>
      <c r="K94" s="12">
        <f>'CLASSIFICA ORDINATA'!H120</f>
        <v>0</v>
      </c>
      <c r="L94" s="12">
        <f>'CLASSIFICA ORDINATA'!I120</f>
        <v>0</v>
      </c>
      <c r="M94" s="79">
        <f>'CLASSIFICA ORDINATA'!J120</f>
        <v>0</v>
      </c>
      <c r="N94" s="12">
        <f>'CLASSIFICA ORDINATA'!K120</f>
        <v>0</v>
      </c>
      <c r="O94" s="12">
        <f>'CLASSIFICA ORDINATA'!L120</f>
        <v>0</v>
      </c>
      <c r="P94" s="12">
        <f>'CLASSIFICA ORDINATA'!M120</f>
        <v>0</v>
      </c>
      <c r="Q94" s="79">
        <f>'CLASSIFICA ORDINATA'!N120</f>
        <v>0</v>
      </c>
      <c r="R94" s="12">
        <f>'CLASSIFICA ORDINATA'!O120</f>
        <v>0</v>
      </c>
      <c r="S94" s="12">
        <f>'CLASSIFICA ORDINATA'!P120</f>
        <v>0</v>
      </c>
      <c r="T94" s="12">
        <f>'CLASSIFICA ORDINATA'!Q120</f>
        <v>0</v>
      </c>
      <c r="U94" s="79">
        <f>'CLASSIFICA ORDINATA'!R120</f>
        <v>0</v>
      </c>
      <c r="V94" s="12">
        <f>'CLASSIFICA ORDINATA'!S120</f>
        <v>0</v>
      </c>
      <c r="W94" s="12">
        <f>'CLASSIFICA ORDINATA'!T120</f>
        <v>0</v>
      </c>
      <c r="X94" s="12">
        <f>'CLASSIFICA ORDINATA'!U120</f>
        <v>0</v>
      </c>
      <c r="Y94" s="79">
        <f>'CLASSIFICA ORDINATA'!V120</f>
        <v>0</v>
      </c>
      <c r="Z94" s="80">
        <f>'CLASSIFICA ORDINATA'!AA120</f>
        <v>0</v>
      </c>
    </row>
    <row r="95" spans="1:26" ht="20" customHeight="1" x14ac:dyDescent="0.25">
      <c r="A95" s="75">
        <v>54</v>
      </c>
      <c r="B95" s="78">
        <f>'CLASSIFICA ORDINATA'!B121</f>
        <v>0</v>
      </c>
      <c r="C95" s="67" t="str">
        <f>IFERROR(VLOOKUP(B95,nomi!B:C,2,FALSE),"")</f>
        <v/>
      </c>
      <c r="D95" s="67" t="str">
        <f>IFERROR(VLOOKUP(B95,nomi!B:G,6,FALSE),"")</f>
        <v/>
      </c>
      <c r="F95" s="12">
        <f>'CLASSIFICA ORDINATA'!C121</f>
        <v>0</v>
      </c>
      <c r="G95" s="12">
        <f>'CLASSIFICA ORDINATA'!D121</f>
        <v>0</v>
      </c>
      <c r="H95" s="12">
        <f>'CLASSIFICA ORDINATA'!E121</f>
        <v>0</v>
      </c>
      <c r="I95" s="79">
        <f>'CLASSIFICA ORDINATA'!F121</f>
        <v>0</v>
      </c>
      <c r="J95" s="12">
        <f>'CLASSIFICA ORDINATA'!G121</f>
        <v>0</v>
      </c>
      <c r="K95" s="12">
        <f>'CLASSIFICA ORDINATA'!H121</f>
        <v>0</v>
      </c>
      <c r="L95" s="12">
        <f>'CLASSIFICA ORDINATA'!I121</f>
        <v>0</v>
      </c>
      <c r="M95" s="79">
        <f>'CLASSIFICA ORDINATA'!J121</f>
        <v>0</v>
      </c>
      <c r="N95" s="12">
        <f>'CLASSIFICA ORDINATA'!K121</f>
        <v>0</v>
      </c>
      <c r="O95" s="12">
        <f>'CLASSIFICA ORDINATA'!L121</f>
        <v>0</v>
      </c>
      <c r="P95" s="12">
        <f>'CLASSIFICA ORDINATA'!M121</f>
        <v>0</v>
      </c>
      <c r="Q95" s="79">
        <f>'CLASSIFICA ORDINATA'!N121</f>
        <v>0</v>
      </c>
      <c r="R95" s="12">
        <f>'CLASSIFICA ORDINATA'!O121</f>
        <v>0</v>
      </c>
      <c r="S95" s="12">
        <f>'CLASSIFICA ORDINATA'!P121</f>
        <v>0</v>
      </c>
      <c r="T95" s="12">
        <f>'CLASSIFICA ORDINATA'!Q121</f>
        <v>0</v>
      </c>
      <c r="U95" s="79">
        <f>'CLASSIFICA ORDINATA'!R121</f>
        <v>0</v>
      </c>
      <c r="V95" s="12">
        <f>'CLASSIFICA ORDINATA'!S121</f>
        <v>0</v>
      </c>
      <c r="W95" s="12">
        <f>'CLASSIFICA ORDINATA'!T121</f>
        <v>0</v>
      </c>
      <c r="X95" s="12">
        <f>'CLASSIFICA ORDINATA'!U121</f>
        <v>0</v>
      </c>
      <c r="Y95" s="79">
        <f>'CLASSIFICA ORDINATA'!V121</f>
        <v>0</v>
      </c>
      <c r="Z95" s="80">
        <f>'CLASSIFICA ORDINATA'!AA121</f>
        <v>0</v>
      </c>
    </row>
    <row r="96" spans="1:26" ht="20" customHeight="1" x14ac:dyDescent="0.25">
      <c r="A96" s="75">
        <v>55</v>
      </c>
      <c r="B96" s="78">
        <f>'CLASSIFICA ORDINATA'!B122</f>
        <v>0</v>
      </c>
      <c r="C96" s="67" t="str">
        <f>IFERROR(VLOOKUP(B96,nomi!B:C,2,FALSE),"")</f>
        <v/>
      </c>
      <c r="D96" s="67" t="str">
        <f>IFERROR(VLOOKUP(B96,nomi!B:G,6,FALSE),"")</f>
        <v/>
      </c>
      <c r="F96" s="12">
        <f>'CLASSIFICA ORDINATA'!C122</f>
        <v>0</v>
      </c>
      <c r="G96" s="12">
        <f>'CLASSIFICA ORDINATA'!D122</f>
        <v>0</v>
      </c>
      <c r="H96" s="12">
        <f>'CLASSIFICA ORDINATA'!E122</f>
        <v>0</v>
      </c>
      <c r="I96" s="79">
        <f>'CLASSIFICA ORDINATA'!F122</f>
        <v>0</v>
      </c>
      <c r="J96" s="12">
        <f>'CLASSIFICA ORDINATA'!G122</f>
        <v>0</v>
      </c>
      <c r="K96" s="12">
        <f>'CLASSIFICA ORDINATA'!H122</f>
        <v>0</v>
      </c>
      <c r="L96" s="12">
        <f>'CLASSIFICA ORDINATA'!I122</f>
        <v>0</v>
      </c>
      <c r="M96" s="79">
        <f>'CLASSIFICA ORDINATA'!J122</f>
        <v>0</v>
      </c>
      <c r="N96" s="12">
        <f>'CLASSIFICA ORDINATA'!K122</f>
        <v>0</v>
      </c>
      <c r="O96" s="12">
        <f>'CLASSIFICA ORDINATA'!L122</f>
        <v>0</v>
      </c>
      <c r="P96" s="12">
        <f>'CLASSIFICA ORDINATA'!M122</f>
        <v>0</v>
      </c>
      <c r="Q96" s="79">
        <f>'CLASSIFICA ORDINATA'!N122</f>
        <v>0</v>
      </c>
      <c r="R96" s="12">
        <f>'CLASSIFICA ORDINATA'!O122</f>
        <v>0</v>
      </c>
      <c r="S96" s="12">
        <f>'CLASSIFICA ORDINATA'!P122</f>
        <v>0</v>
      </c>
      <c r="T96" s="12">
        <f>'CLASSIFICA ORDINATA'!Q122</f>
        <v>0</v>
      </c>
      <c r="U96" s="79">
        <f>'CLASSIFICA ORDINATA'!R122</f>
        <v>0</v>
      </c>
      <c r="V96" s="12">
        <f>'CLASSIFICA ORDINATA'!S122</f>
        <v>0</v>
      </c>
      <c r="W96" s="12">
        <f>'CLASSIFICA ORDINATA'!T122</f>
        <v>0</v>
      </c>
      <c r="X96" s="12">
        <f>'CLASSIFICA ORDINATA'!U122</f>
        <v>0</v>
      </c>
      <c r="Y96" s="79">
        <f>'CLASSIFICA ORDINATA'!V122</f>
        <v>0</v>
      </c>
      <c r="Z96" s="80">
        <f>'CLASSIFICA ORDINATA'!AA122</f>
        <v>0</v>
      </c>
    </row>
    <row r="97" spans="1:26" ht="20" customHeight="1" x14ac:dyDescent="0.25">
      <c r="A97" s="75">
        <v>56</v>
      </c>
      <c r="B97" s="78">
        <f>'CLASSIFICA ORDINATA'!B123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ORDINATA'!C123</f>
        <v>0</v>
      </c>
      <c r="G97" s="12">
        <f>'CLASSIFICA ORDINATA'!D123</f>
        <v>0</v>
      </c>
      <c r="H97" s="12">
        <f>'CLASSIFICA ORDINATA'!E123</f>
        <v>0</v>
      </c>
      <c r="I97" s="79">
        <f>'CLASSIFICA ORDINATA'!F123</f>
        <v>0</v>
      </c>
      <c r="J97" s="12">
        <f>'CLASSIFICA ORDINATA'!G123</f>
        <v>0</v>
      </c>
      <c r="K97" s="12">
        <f>'CLASSIFICA ORDINATA'!H123</f>
        <v>0</v>
      </c>
      <c r="L97" s="12">
        <f>'CLASSIFICA ORDINATA'!I123</f>
        <v>0</v>
      </c>
      <c r="M97" s="79">
        <f>'CLASSIFICA ORDINATA'!J123</f>
        <v>0</v>
      </c>
      <c r="N97" s="12">
        <f>'CLASSIFICA ORDINATA'!K123</f>
        <v>0</v>
      </c>
      <c r="O97" s="12">
        <f>'CLASSIFICA ORDINATA'!L123</f>
        <v>0</v>
      </c>
      <c r="P97" s="12">
        <f>'CLASSIFICA ORDINATA'!M123</f>
        <v>0</v>
      </c>
      <c r="Q97" s="79">
        <f>'CLASSIFICA ORDINATA'!N123</f>
        <v>0</v>
      </c>
      <c r="R97" s="12">
        <f>'CLASSIFICA ORDINATA'!O123</f>
        <v>0</v>
      </c>
      <c r="S97" s="12">
        <f>'CLASSIFICA ORDINATA'!P123</f>
        <v>0</v>
      </c>
      <c r="T97" s="12">
        <f>'CLASSIFICA ORDINATA'!Q123</f>
        <v>0</v>
      </c>
      <c r="U97" s="79">
        <f>'CLASSIFICA ORDINATA'!R123</f>
        <v>0</v>
      </c>
      <c r="V97" s="12">
        <f>'CLASSIFICA ORDINATA'!S123</f>
        <v>0</v>
      </c>
      <c r="W97" s="12">
        <f>'CLASSIFICA ORDINATA'!T123</f>
        <v>0</v>
      </c>
      <c r="X97" s="12">
        <f>'CLASSIFICA ORDINATA'!U123</f>
        <v>0</v>
      </c>
      <c r="Y97" s="79">
        <f>'CLASSIFICA ORDINATA'!V123</f>
        <v>0</v>
      </c>
      <c r="Z97" s="80">
        <f>'CLASSIFICA ORDINATA'!AA123</f>
        <v>0</v>
      </c>
    </row>
    <row r="98" spans="1:26" ht="20" customHeight="1" x14ac:dyDescent="0.2"/>
    <row r="99" spans="1:26" ht="20" customHeight="1" x14ac:dyDescent="0.2"/>
    <row r="100" spans="1:26" ht="20" customHeight="1" x14ac:dyDescent="0.2"/>
    <row r="101" spans="1:26" ht="20" customHeight="1" x14ac:dyDescent="0.2"/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22">
    <mergeCell ref="A40:C40"/>
    <mergeCell ref="A2:Z2"/>
    <mergeCell ref="A1:Z1"/>
    <mergeCell ref="J40:M40"/>
    <mergeCell ref="N40:Q40"/>
    <mergeCell ref="R40:U40"/>
    <mergeCell ref="V40:Y40"/>
    <mergeCell ref="Z40:Z41"/>
    <mergeCell ref="A5:B5"/>
    <mergeCell ref="A22:B22"/>
    <mergeCell ref="F40:I40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73"/>
  <sheetViews>
    <sheetView workbookViewId="0">
      <selection activeCell="D25" sqref="D25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89" t="s">
        <v>416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6" customHeight="1" x14ac:dyDescent="0.2">
      <c r="A2" s="88" t="s">
        <v>0</v>
      </c>
      <c r="B2" s="94" t="s">
        <v>14</v>
      </c>
      <c r="C2" s="96" t="s">
        <v>411</v>
      </c>
      <c r="D2" s="97"/>
      <c r="E2" s="97"/>
      <c r="F2" s="98"/>
      <c r="G2" s="96" t="s">
        <v>412</v>
      </c>
      <c r="H2" s="97"/>
      <c r="I2" s="97"/>
      <c r="J2" s="98"/>
      <c r="K2" s="96" t="s">
        <v>413</v>
      </c>
      <c r="L2" s="97"/>
      <c r="M2" s="97"/>
      <c r="N2" s="98"/>
      <c r="O2" s="96" t="s">
        <v>414</v>
      </c>
      <c r="P2" s="97"/>
      <c r="Q2" s="97"/>
      <c r="R2" s="98"/>
      <c r="S2" s="96" t="s">
        <v>415</v>
      </c>
      <c r="T2" s="97"/>
      <c r="U2" s="97"/>
      <c r="V2" s="98"/>
      <c r="W2" s="95" t="s">
        <v>33</v>
      </c>
    </row>
    <row r="3" spans="1:23" ht="27" x14ac:dyDescent="0.2">
      <c r="A3" s="88"/>
      <c r="B3" s="94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5"/>
    </row>
    <row r="4" spans="1:23" ht="19" x14ac:dyDescent="0.2">
      <c r="A4" s="90" t="s">
        <v>29</v>
      </c>
      <c r="B4" s="91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Generale'!F5:F20,-1)=0,"",_xlfn.SORTBY('Classifica Generale'!B5:W20,'Classifica Generale'!F5:F20,-1))</f>
        <v>TLM_wid83</v>
      </c>
      <c r="C5" s="12" t="str">
        <v/>
      </c>
      <c r="D5" s="12" t="str">
        <v/>
      </c>
      <c r="E5" s="12" t="str">
        <v/>
      </c>
      <c r="F5" s="39" t="str">
        <v/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 t="str">
        <v/>
      </c>
    </row>
    <row r="6" spans="1:23" ht="17" x14ac:dyDescent="0.25">
      <c r="A6" s="26" t="s">
        <v>3</v>
      </c>
      <c r="B6" s="43" t="str">
        <v>Rupetheking</v>
      </c>
      <c r="C6" s="20" t="str">
        <v/>
      </c>
      <c r="D6" s="20" t="str">
        <v/>
      </c>
      <c r="E6" s="20" t="str">
        <v/>
      </c>
      <c r="F6" s="39" t="str">
        <v/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 t="str">
        <v/>
      </c>
    </row>
    <row r="7" spans="1:23" ht="17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 t="str">
        <v/>
      </c>
    </row>
    <row r="8" spans="1:23" ht="17" x14ac:dyDescent="0.25">
      <c r="A8" s="28" t="s">
        <v>5</v>
      </c>
      <c r="B8" s="43" t="str">
        <v>Bobgre93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 t="str">
        <v/>
      </c>
    </row>
    <row r="9" spans="1:23" ht="17" x14ac:dyDescent="0.25">
      <c r="A9" s="28" t="s">
        <v>6</v>
      </c>
      <c r="B9" s="43" t="str">
        <v>xRUA85x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 t="str">
        <v/>
      </c>
    </row>
    <row r="10" spans="1:23" ht="17" x14ac:dyDescent="0.25">
      <c r="A10" s="28" t="s">
        <v>7</v>
      </c>
      <c r="B10" s="43" t="str">
        <v>TheGuarny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 t="str">
        <v/>
      </c>
    </row>
    <row r="11" spans="1:23" ht="17" x14ac:dyDescent="0.25">
      <c r="A11" s="29" t="s">
        <v>8</v>
      </c>
      <c r="B11" s="43" t="str">
        <v>Patanel86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 t="str">
        <v/>
      </c>
    </row>
    <row r="12" spans="1:23" ht="17" x14ac:dyDescent="0.25">
      <c r="A12" s="29" t="s">
        <v>9</v>
      </c>
      <c r="B12" s="43" t="str">
        <v>TLM_Kappa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 t="str">
        <v/>
      </c>
    </row>
    <row r="13" spans="1:23" ht="17" x14ac:dyDescent="0.25">
      <c r="A13" s="28" t="s">
        <v>10</v>
      </c>
      <c r="B13" s="43" t="str">
        <v>Verce90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 t="str">
        <v/>
      </c>
    </row>
    <row r="14" spans="1:23" ht="17" x14ac:dyDescent="0.25">
      <c r="A14" s="28" t="s">
        <v>11</v>
      </c>
      <c r="B14" s="43" t="str">
        <v>selpa974</v>
      </c>
      <c r="C14" s="12" t="str">
        <v/>
      </c>
      <c r="D14" s="12" t="str">
        <v/>
      </c>
      <c r="E14" s="12" t="str">
        <v/>
      </c>
      <c r="F14" s="39" t="str">
        <v/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 t="str">
        <v/>
      </c>
    </row>
    <row r="15" spans="1:23" ht="17" x14ac:dyDescent="0.25">
      <c r="A15" s="28" t="s">
        <v>12</v>
      </c>
      <c r="B15" s="43" t="str">
        <v>TLM_SKIZZO 34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 t="str">
        <v/>
      </c>
    </row>
    <row r="16" spans="1:23" ht="17" x14ac:dyDescent="0.25">
      <c r="A16" s="28" t="s">
        <v>13</v>
      </c>
      <c r="B16" s="43" t="str">
        <v>Silentium884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 t="str">
        <v/>
      </c>
    </row>
    <row r="17" spans="1:23" ht="17" x14ac:dyDescent="0.25">
      <c r="A17" s="29" t="s">
        <v>20</v>
      </c>
      <c r="B17" s="43" t="str">
        <v>Ulix1990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 t="str">
        <v/>
      </c>
    </row>
    <row r="18" spans="1:23" ht="17" x14ac:dyDescent="0.25">
      <c r="A18" s="29" t="s">
        <v>21</v>
      </c>
      <c r="B18" s="43" t="str">
        <v>Isnotacrime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7" x14ac:dyDescent="0.25">
      <c r="A19" s="29" t="s">
        <v>409</v>
      </c>
      <c r="B19" s="43" t="str">
        <v>Asseemazz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7" x14ac:dyDescent="0.25">
      <c r="A20" s="30" t="s">
        <v>410</v>
      </c>
      <c r="B20" s="44" t="str">
        <v>Liotru1979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92" t="s">
        <v>30</v>
      </c>
      <c r="B21" s="93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Generale'!F22:F37,-1)=0,"",_xlfn.SORTBY('Classifica Generale'!B22:W37,'Classifica Generale'!F22:F37,-1))</f>
        <v>Chry-77</v>
      </c>
      <c r="C22" s="12" t="str">
        <v/>
      </c>
      <c r="D22" s="12" t="str">
        <v/>
      </c>
      <c r="E22" s="12" t="str">
        <v/>
      </c>
      <c r="F22" s="39" t="str">
        <v/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 t="str">
        <v/>
      </c>
    </row>
    <row r="23" spans="1:23" ht="18" x14ac:dyDescent="0.25">
      <c r="A23" s="26" t="s">
        <v>3</v>
      </c>
      <c r="B23" s="43" t="str">
        <v>mark126p</v>
      </c>
      <c r="C23" s="20" t="str">
        <v/>
      </c>
      <c r="D23" s="20" t="str">
        <v/>
      </c>
      <c r="E23" s="20" t="str">
        <v/>
      </c>
      <c r="F23" s="39" t="str">
        <v/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 t="str">
        <v/>
      </c>
    </row>
    <row r="24" spans="1:23" ht="18" x14ac:dyDescent="0.25">
      <c r="A24" s="27" t="s">
        <v>4</v>
      </c>
      <c r="B24" s="43" t="str">
        <v>Parenji</v>
      </c>
      <c r="C24" s="12" t="str">
        <v/>
      </c>
      <c r="D24" s="12" t="str">
        <v/>
      </c>
      <c r="E24" s="12" t="str">
        <v/>
      </c>
      <c r="F24" s="39" t="str">
        <v/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 t="str">
        <v/>
      </c>
    </row>
    <row r="25" spans="1:23" ht="18" x14ac:dyDescent="0.25">
      <c r="A25" s="28" t="s">
        <v>5</v>
      </c>
      <c r="B25" s="43" t="str">
        <v>Asseemazz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 t="str">
        <v/>
      </c>
    </row>
    <row r="26" spans="1:23" ht="18" x14ac:dyDescent="0.25">
      <c r="A26" s="28" t="s">
        <v>6</v>
      </c>
      <c r="B26" s="43" t="str">
        <v>Rupetheking</v>
      </c>
      <c r="C26" s="40" t="str">
        <v/>
      </c>
      <c r="D26" s="20" t="str">
        <v/>
      </c>
      <c r="E26" s="20" t="str">
        <v/>
      </c>
      <c r="F26" s="39" t="str">
        <v/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 t="str">
        <v/>
      </c>
    </row>
    <row r="27" spans="1:23" ht="18" x14ac:dyDescent="0.25">
      <c r="A27" s="28" t="s">
        <v>7</v>
      </c>
      <c r="B27" s="43" t="str">
        <v>TLM_Sicily22</v>
      </c>
      <c r="C27" s="12" t="str">
        <v/>
      </c>
      <c r="D27" s="12" t="str">
        <v/>
      </c>
      <c r="E27" s="12" t="str">
        <v/>
      </c>
      <c r="F27" s="39" t="str">
        <v/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 t="str">
        <v/>
      </c>
    </row>
    <row r="28" spans="1:23" ht="18" x14ac:dyDescent="0.25">
      <c r="A28" s="29" t="s">
        <v>8</v>
      </c>
      <c r="B28" s="43" t="str">
        <v>andvea_99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 t="str">
        <v/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 t="str">
        <v/>
      </c>
    </row>
    <row r="30" spans="1:23" ht="18" x14ac:dyDescent="0.25">
      <c r="A30" s="28" t="s">
        <v>10</v>
      </c>
      <c r="B30" s="43" t="str">
        <v>TLM_michaelFox12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 t="str">
        <v/>
      </c>
    </row>
    <row r="31" spans="1:23" ht="18" x14ac:dyDescent="0.25">
      <c r="A31" s="28" t="s">
        <v>11</v>
      </c>
      <c r="B31" s="43" t="str">
        <v>Tonyroto74</v>
      </c>
      <c r="C31" s="12" t="str">
        <v/>
      </c>
      <c r="D31" s="12" t="str">
        <v/>
      </c>
      <c r="E31" s="12" t="str">
        <v/>
      </c>
      <c r="F31" s="39" t="str">
        <v/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 t="str">
        <v/>
      </c>
    </row>
    <row r="32" spans="1:23" ht="18" x14ac:dyDescent="0.25">
      <c r="A32" s="28" t="s">
        <v>12</v>
      </c>
      <c r="B32" s="43" t="str">
        <v>TLM_dimaa66</v>
      </c>
      <c r="C32" s="40" t="str">
        <v/>
      </c>
      <c r="D32" s="20" t="str">
        <v/>
      </c>
      <c r="E32" s="20" t="str">
        <v/>
      </c>
      <c r="F32" s="39" t="str">
        <v/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 t="str">
        <v/>
      </c>
    </row>
    <row r="33" spans="1:23" ht="18" x14ac:dyDescent="0.25">
      <c r="A33" s="28" t="s">
        <v>13</v>
      </c>
      <c r="B33" s="43" t="str">
        <v>Verce90</v>
      </c>
      <c r="C33" s="12" t="str">
        <v/>
      </c>
      <c r="D33" s="12" t="str">
        <v/>
      </c>
      <c r="E33" s="12" t="str">
        <v/>
      </c>
      <c r="F33" s="39" t="str">
        <v/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 t="str">
        <v/>
      </c>
    </row>
    <row r="34" spans="1:23" ht="18" x14ac:dyDescent="0.25">
      <c r="A34" s="29" t="s">
        <v>20</v>
      </c>
      <c r="B34" s="43" t="str">
        <v>Ulix1990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 t="str">
        <v/>
      </c>
    </row>
    <row r="35" spans="1:23" ht="18" x14ac:dyDescent="0.25">
      <c r="A35" s="29" t="s">
        <v>21</v>
      </c>
      <c r="B35" s="43" t="str">
        <v>CTR_ocior-78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TLM_SKIZZO 34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Mikedb__91__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/>
    <row r="73" ht="17" x14ac:dyDescent="0.25"/>
  </sheetData>
  <mergeCells count="11">
    <mergeCell ref="A4:B4"/>
    <mergeCell ref="A21:B21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8"/>
  <sheetViews>
    <sheetView workbookViewId="0">
      <selection activeCell="H11" sqref="H1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07" t="s">
        <v>362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</row>
    <row r="2" spans="1:26" ht="19" x14ac:dyDescent="0.25">
      <c r="A2" s="106" t="s">
        <v>386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26" ht="22" customHeight="1" x14ac:dyDescent="0.2">
      <c r="A3" s="88" t="s">
        <v>19</v>
      </c>
      <c r="B3" s="88" t="s">
        <v>14</v>
      </c>
      <c r="C3" s="103" t="s">
        <v>363</v>
      </c>
      <c r="D3" s="103" t="s">
        <v>15</v>
      </c>
      <c r="E3" s="103" t="s">
        <v>425</v>
      </c>
      <c r="F3" s="96" t="s">
        <v>411</v>
      </c>
      <c r="G3" s="97"/>
      <c r="H3" s="97"/>
      <c r="I3" s="98"/>
      <c r="J3" s="96" t="s">
        <v>412</v>
      </c>
      <c r="K3" s="97"/>
      <c r="L3" s="97"/>
      <c r="M3" s="98"/>
      <c r="N3" s="96" t="s">
        <v>413</v>
      </c>
      <c r="O3" s="97"/>
      <c r="P3" s="97"/>
      <c r="Q3" s="98"/>
      <c r="R3" s="96" t="s">
        <v>414</v>
      </c>
      <c r="S3" s="97"/>
      <c r="T3" s="97"/>
      <c r="U3" s="98"/>
      <c r="V3" s="96" t="s">
        <v>415</v>
      </c>
      <c r="W3" s="97"/>
      <c r="X3" s="97"/>
      <c r="Y3" s="98"/>
      <c r="Z3" s="95" t="s">
        <v>33</v>
      </c>
    </row>
    <row r="4" spans="1:26" ht="27" x14ac:dyDescent="0.2">
      <c r="A4" s="88"/>
      <c r="B4" s="88"/>
      <c r="C4" s="104"/>
      <c r="D4" s="104"/>
      <c r="E4" s="104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95"/>
    </row>
    <row r="5" spans="1:26" ht="20" customHeight="1" x14ac:dyDescent="0.2">
      <c r="A5" s="90" t="s">
        <v>29</v>
      </c>
      <c r="B5" s="91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TLM_wid83</v>
      </c>
      <c r="C6" s="67" t="str">
        <f>VLOOKUP(B6,nomi!B:C,2,FALSE)</f>
        <v>TLM_wid83</v>
      </c>
      <c r="D6" s="67" t="str">
        <f>VLOOKUP(B6,nomi!B:G,6,FALSE)</f>
        <v>TLM</v>
      </c>
      <c r="E6" s="67">
        <f>VLOOKUP(B6,nomi!B:I,8,FALSE)</f>
        <v>23</v>
      </c>
      <c r="F6" s="12" t="str">
        <f>RISULTATI!C5</f>
        <v/>
      </c>
      <c r="G6" s="12" t="str">
        <f>RISULTATI!D5</f>
        <v/>
      </c>
      <c r="H6" s="12" t="str">
        <f>RISULTATI!E5</f>
        <v/>
      </c>
      <c r="I6" s="79" t="str">
        <f>RISULTATI!F5</f>
        <v/>
      </c>
      <c r="J6" s="12" t="str">
        <f>RISULTATI!G5</f>
        <v/>
      </c>
      <c r="K6" s="12" t="str">
        <f>RISULTATI!H5</f>
        <v/>
      </c>
      <c r="L6" s="12" t="str">
        <f>RISULTATI!I5</f>
        <v/>
      </c>
      <c r="M6" s="79" t="str">
        <f>RISULTATI!J5</f>
        <v/>
      </c>
      <c r="N6" s="12" t="str">
        <f>RISULTATI!K5</f>
        <v/>
      </c>
      <c r="O6" s="12" t="str">
        <f>RISULTATI!L5</f>
        <v/>
      </c>
      <c r="P6" s="12" t="str">
        <f>RISULTATI!M5</f>
        <v/>
      </c>
      <c r="Q6" s="79" t="str">
        <f>RISULTATI!N5</f>
        <v/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 t="str">
        <f>RISULTATI!W5</f>
        <v/>
      </c>
    </row>
    <row r="7" spans="1:26" ht="20" customHeight="1" x14ac:dyDescent="0.2">
      <c r="A7" s="69">
        <v>2</v>
      </c>
      <c r="B7" s="67" t="str">
        <f>'CLASSIFICA ORDINATA'!B6</f>
        <v>Rupetheking</v>
      </c>
      <c r="C7" s="67" t="str">
        <f>VLOOKUP(B7,nomi!B:C,2,FALSE)</f>
        <v xml:space="preserve">Tlm-rupetheking </v>
      </c>
      <c r="D7" s="67" t="str">
        <f>VLOOKUP(B7,nomi!B:G,6,FALSE)</f>
        <v>TLM</v>
      </c>
      <c r="E7" s="67">
        <f>VLOOKUP(B7,nomi!B:I,8,FALSE)</f>
        <v>44</v>
      </c>
      <c r="F7" s="12" t="str">
        <f>RISULTATI!C6</f>
        <v/>
      </c>
      <c r="G7" s="12" t="str">
        <f>RISULTATI!D6</f>
        <v/>
      </c>
      <c r="H7" s="12" t="str">
        <f>RISULTATI!E6</f>
        <v/>
      </c>
      <c r="I7" s="79" t="str">
        <f>RISULTATI!F6</f>
        <v/>
      </c>
      <c r="J7" s="12" t="str">
        <f>RISULTATI!G6</f>
        <v/>
      </c>
      <c r="K7" s="12" t="str">
        <f>RISULTATI!H6</f>
        <v/>
      </c>
      <c r="L7" s="12" t="str">
        <f>RISULTATI!I6</f>
        <v/>
      </c>
      <c r="M7" s="79" t="str">
        <f>RISULTATI!J6</f>
        <v/>
      </c>
      <c r="N7" s="12" t="str">
        <f>RISULTATI!K6</f>
        <v/>
      </c>
      <c r="O7" s="12" t="str">
        <f>RISULTATI!L6</f>
        <v/>
      </c>
      <c r="P7" s="12" t="str">
        <f>RISULTATI!M6</f>
        <v/>
      </c>
      <c r="Q7" s="79" t="str">
        <f>RISULTATI!N6</f>
        <v/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 t="str">
        <f>RISULTATI!W6</f>
        <v/>
      </c>
    </row>
    <row r="8" spans="1:26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67">
        <f>VLOOKUP(B8,nomi!B:I,8,FALSE)</f>
        <v>99</v>
      </c>
      <c r="F8" s="12" t="str">
        <f>RISULTATI!C7</f>
        <v/>
      </c>
      <c r="G8" s="12" t="str">
        <f>RISULTATI!D7</f>
        <v/>
      </c>
      <c r="H8" s="12" t="str">
        <f>RISULTATI!E7</f>
        <v/>
      </c>
      <c r="I8" s="79" t="str">
        <f>RISULTATI!F7</f>
        <v/>
      </c>
      <c r="J8" s="12" t="str">
        <f>RISULTATI!G7</f>
        <v/>
      </c>
      <c r="K8" s="12" t="str">
        <f>RISULTATI!H7</f>
        <v/>
      </c>
      <c r="L8" s="12" t="str">
        <f>RISULTATI!I7</f>
        <v/>
      </c>
      <c r="M8" s="79" t="str">
        <f>RISULTATI!J7</f>
        <v/>
      </c>
      <c r="N8" s="12" t="str">
        <f>RISULTATI!K7</f>
        <v/>
      </c>
      <c r="O8" s="12" t="str">
        <f>RISULTATI!L7</f>
        <v/>
      </c>
      <c r="P8" s="12" t="str">
        <f>RISULTATI!M7</f>
        <v/>
      </c>
      <c r="Q8" s="79" t="str">
        <f>RISULTATI!N7</f>
        <v/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 t="str">
        <f>RISULTATI!W7</f>
        <v/>
      </c>
    </row>
    <row r="9" spans="1:26" ht="20" customHeight="1" x14ac:dyDescent="0.2">
      <c r="A9" s="71">
        <v>4</v>
      </c>
      <c r="B9" s="67" t="str">
        <f>'CLASSIFICA ORDINATA'!B8</f>
        <v>Bobgre93</v>
      </c>
      <c r="C9" s="67" t="str">
        <f>VLOOKUP(B9,nomi!B:C,2,FALSE)</f>
        <v>TLM_BobGre93</v>
      </c>
      <c r="D9" s="67" t="str">
        <f>VLOOKUP(B9,nomi!B:G,6,FALSE)</f>
        <v>TLM</v>
      </c>
      <c r="E9" s="67">
        <f>VLOOKUP(B9,nomi!B:I,8,FALSE)</f>
        <v>112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9" t="str">
        <f>RISULTATI!F8</f>
        <v/>
      </c>
      <c r="J9" s="12" t="str">
        <f>RISULTATI!G8</f>
        <v/>
      </c>
      <c r="K9" s="12" t="str">
        <f>RISULTATI!H8</f>
        <v/>
      </c>
      <c r="L9" s="12" t="str">
        <f>RISULTATI!I8</f>
        <v/>
      </c>
      <c r="M9" s="79" t="str">
        <f>RISULTATI!J8</f>
        <v/>
      </c>
      <c r="N9" s="12" t="str">
        <f>RISULTATI!K8</f>
        <v/>
      </c>
      <c r="O9" s="12" t="str">
        <f>RISULTATI!L8</f>
        <v/>
      </c>
      <c r="P9" s="12" t="str">
        <f>RISULTATI!M8</f>
        <v/>
      </c>
      <c r="Q9" s="79" t="str">
        <f>RISULTATI!N8</f>
        <v/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 t="str">
        <f>RISULTATI!W8</f>
        <v/>
      </c>
    </row>
    <row r="10" spans="1:26" ht="20" customHeight="1" x14ac:dyDescent="0.2">
      <c r="A10" s="71">
        <v>5</v>
      </c>
      <c r="B10" s="67" t="str">
        <f>'CLASSIFICA ORDINATA'!B9</f>
        <v>xRUA85x</v>
      </c>
      <c r="C10" s="67" t="str">
        <f>VLOOKUP(B10,nomi!B:C,2,FALSE)</f>
        <v>TLM_Le Rua’</v>
      </c>
      <c r="D10" s="67" t="str">
        <f>VLOOKUP(B10,nomi!B:G,6,FALSE)</f>
        <v>TLM</v>
      </c>
      <c r="E10" s="67">
        <f>VLOOKUP(B10,nomi!B:I,8,FALSE)</f>
        <v>85</v>
      </c>
      <c r="F10" s="12" t="str">
        <f>RISULTATI!C9</f>
        <v/>
      </c>
      <c r="G10" s="12" t="str">
        <f>RISULTATI!D9</f>
        <v/>
      </c>
      <c r="H10" s="12" t="str">
        <f>RISULTATI!E9</f>
        <v/>
      </c>
      <c r="I10" s="79" t="str">
        <f>RISULTATI!F9</f>
        <v/>
      </c>
      <c r="J10" s="12" t="str">
        <f>RISULTATI!G9</f>
        <v/>
      </c>
      <c r="K10" s="12" t="str">
        <f>RISULTATI!H9</f>
        <v/>
      </c>
      <c r="L10" s="12" t="str">
        <f>RISULTATI!I9</f>
        <v/>
      </c>
      <c r="M10" s="79" t="str">
        <f>RISULTATI!J9</f>
        <v/>
      </c>
      <c r="N10" s="12" t="str">
        <f>RISULTATI!K9</f>
        <v/>
      </c>
      <c r="O10" s="12" t="str">
        <f>RISULTATI!L9</f>
        <v/>
      </c>
      <c r="P10" s="12" t="str">
        <f>RISULTATI!M9</f>
        <v/>
      </c>
      <c r="Q10" s="79" t="str">
        <f>RISULTATI!N9</f>
        <v/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 t="str">
        <f>RISULTATI!W9</f>
        <v/>
      </c>
    </row>
    <row r="11" spans="1:26" ht="20" customHeight="1" x14ac:dyDescent="0.2">
      <c r="A11" s="71">
        <v>6</v>
      </c>
      <c r="B11" s="67" t="str">
        <f>'CLASSIFICA ORDINATA'!B10</f>
        <v>TheGuarny</v>
      </c>
      <c r="C11" s="67" t="str">
        <f>VLOOKUP(B11,nomi!B:C,2,FALSE)</f>
        <v>TLM_TheGuarny</v>
      </c>
      <c r="D11" s="67" t="str">
        <f>VLOOKUP(B11,nomi!B:G,6,FALSE)</f>
        <v>TLM</v>
      </c>
      <c r="E11" s="67">
        <f>VLOOKUP(B11,nomi!B:I,8,FALSE)</f>
        <v>92</v>
      </c>
      <c r="F11" s="12" t="str">
        <f>RISULTATI!C10</f>
        <v/>
      </c>
      <c r="G11" s="12" t="str">
        <f>RISULTATI!D10</f>
        <v/>
      </c>
      <c r="H11" s="12" t="str">
        <f>RISULTATI!E10</f>
        <v/>
      </c>
      <c r="I11" s="79" t="str">
        <f>RISULTATI!F10</f>
        <v/>
      </c>
      <c r="J11" s="12" t="str">
        <f>RISULTATI!G10</f>
        <v/>
      </c>
      <c r="K11" s="12" t="str">
        <f>RISULTATI!H10</f>
        <v/>
      </c>
      <c r="L11" s="12" t="str">
        <f>RISULTATI!I10</f>
        <v/>
      </c>
      <c r="M11" s="79" t="str">
        <f>RISULTATI!J10</f>
        <v/>
      </c>
      <c r="N11" s="12" t="str">
        <f>RISULTATI!K10</f>
        <v/>
      </c>
      <c r="O11" s="12" t="str">
        <f>RISULTATI!L10</f>
        <v/>
      </c>
      <c r="P11" s="12" t="str">
        <f>RISULTATI!M10</f>
        <v/>
      </c>
      <c r="Q11" s="79" t="str">
        <f>RISULTATI!N10</f>
        <v/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 t="str">
        <f>RISULTATI!W10</f>
        <v/>
      </c>
    </row>
    <row r="12" spans="1:26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67">
        <f>VLOOKUP(B12,nomi!B:I,8,FALSE)</f>
        <v>10</v>
      </c>
      <c r="F12" s="12" t="str">
        <f>RISULTATI!C11</f>
        <v/>
      </c>
      <c r="G12" s="12" t="str">
        <f>RISULTATI!D11</f>
        <v/>
      </c>
      <c r="H12" s="12" t="str">
        <f>RISULTATI!E11</f>
        <v/>
      </c>
      <c r="I12" s="79" t="str">
        <f>RISULTATI!F11</f>
        <v/>
      </c>
      <c r="J12" s="12" t="str">
        <f>RISULTATI!G11</f>
        <v/>
      </c>
      <c r="K12" s="12" t="str">
        <f>RISULTATI!H11</f>
        <v/>
      </c>
      <c r="L12" s="12" t="str">
        <f>RISULTATI!I11</f>
        <v/>
      </c>
      <c r="M12" s="79" t="str">
        <f>RISULTATI!J11</f>
        <v/>
      </c>
      <c r="N12" s="12" t="str">
        <f>RISULTATI!K11</f>
        <v/>
      </c>
      <c r="O12" s="12" t="str">
        <f>RISULTATI!L11</f>
        <v/>
      </c>
      <c r="P12" s="12" t="str">
        <f>RISULTATI!M11</f>
        <v/>
      </c>
      <c r="Q12" s="79" t="str">
        <f>RISULTATI!N11</f>
        <v/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 t="str">
        <f>RISULTATI!W11</f>
        <v/>
      </c>
    </row>
    <row r="13" spans="1:26" ht="20" customHeight="1" x14ac:dyDescent="0.2">
      <c r="A13" s="71">
        <v>8</v>
      </c>
      <c r="B13" s="67" t="str">
        <f>'CLASSIFICA ORDINATA'!B12</f>
        <v>TLM_Kappa</v>
      </c>
      <c r="C13" s="67" t="str">
        <f>VLOOKUP(B13,nomi!B:C,2,FALSE)</f>
        <v>TLM_Kappa</v>
      </c>
      <c r="D13" s="67" t="str">
        <f>VLOOKUP(B13,nomi!B:G,6,FALSE)</f>
        <v>TLM</v>
      </c>
      <c r="E13" s="67">
        <f>VLOOKUP(B13,nomi!B:I,8,FALSE)</f>
        <v>53</v>
      </c>
      <c r="F13" s="12" t="str">
        <f>RISULTATI!C12</f>
        <v/>
      </c>
      <c r="G13" s="12" t="str">
        <f>RISULTATI!D12</f>
        <v/>
      </c>
      <c r="H13" s="12" t="str">
        <f>RISULTATI!E12</f>
        <v/>
      </c>
      <c r="I13" s="79" t="str">
        <f>RISULTATI!F12</f>
        <v/>
      </c>
      <c r="J13" s="12" t="str">
        <f>RISULTATI!G12</f>
        <v/>
      </c>
      <c r="K13" s="12" t="str">
        <f>RISULTATI!H12</f>
        <v/>
      </c>
      <c r="L13" s="12" t="str">
        <f>RISULTATI!I12</f>
        <v/>
      </c>
      <c r="M13" s="79" t="str">
        <f>RISULTATI!J12</f>
        <v/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9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 t="str">
        <f>RISULTATI!W12</f>
        <v/>
      </c>
    </row>
    <row r="14" spans="1:26" ht="20" customHeight="1" x14ac:dyDescent="0.2">
      <c r="A14" s="71">
        <v>9</v>
      </c>
      <c r="B14" s="67" t="str">
        <f>'CLASSIFICA ORDINATA'!B13</f>
        <v>Verce90</v>
      </c>
      <c r="C14" s="67" t="str">
        <f>VLOOKUP(B14,nomi!B:C,2,FALSE)</f>
        <v>TLM Verce90</v>
      </c>
      <c r="D14" s="67" t="str">
        <f>VLOOKUP(B14,nomi!B:G,6,FALSE)</f>
        <v>TLM</v>
      </c>
      <c r="E14" s="67">
        <f>VLOOKUP(B14,nomi!B:I,8,FALSE)</f>
        <v>25</v>
      </c>
      <c r="F14" s="12" t="str">
        <f>RISULTATI!C13</f>
        <v/>
      </c>
      <c r="G14" s="12" t="str">
        <f>RISULTATI!D13</f>
        <v/>
      </c>
      <c r="H14" s="12" t="str">
        <f>RISULTATI!E13</f>
        <v/>
      </c>
      <c r="I14" s="79" t="str">
        <f>RISULTATI!F13</f>
        <v/>
      </c>
      <c r="J14" s="12" t="str">
        <f>RISULTATI!G13</f>
        <v/>
      </c>
      <c r="K14" s="12" t="str">
        <f>RISULTATI!H13</f>
        <v/>
      </c>
      <c r="L14" s="12" t="str">
        <f>RISULTATI!I13</f>
        <v/>
      </c>
      <c r="M14" s="79" t="str">
        <f>RISULTATI!J13</f>
        <v/>
      </c>
      <c r="N14" s="12" t="str">
        <f>RISULTATI!K13</f>
        <v/>
      </c>
      <c r="O14" s="12" t="str">
        <f>RISULTATI!L13</f>
        <v/>
      </c>
      <c r="P14" s="12" t="str">
        <f>RISULTATI!M13</f>
        <v/>
      </c>
      <c r="Q14" s="79" t="str">
        <f>RISULTATI!N13</f>
        <v/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 t="str">
        <f>RISULTATI!W13</f>
        <v/>
      </c>
    </row>
    <row r="15" spans="1:26" ht="20" customHeight="1" x14ac:dyDescent="0.2">
      <c r="A15" s="71">
        <v>10</v>
      </c>
      <c r="B15" s="67" t="str">
        <f>'CLASSIFICA ORDINATA'!B14</f>
        <v>selpa974</v>
      </c>
      <c r="C15" s="67" t="str">
        <f>VLOOKUP(B15,nomi!B:C,2,FALSE)</f>
        <v>TLM_Selpa974_#88</v>
      </c>
      <c r="D15" s="67" t="str">
        <f>VLOOKUP(B15,nomi!B:G,6,FALSE)</f>
        <v>TLM</v>
      </c>
      <c r="E15" s="67">
        <f>VLOOKUP(B15,nomi!B:I,8,FALSE)</f>
        <v>88</v>
      </c>
      <c r="F15" s="12" t="str">
        <f>RISULTATI!C14</f>
        <v/>
      </c>
      <c r="G15" s="12" t="str">
        <f>RISULTATI!D14</f>
        <v/>
      </c>
      <c r="H15" s="12" t="str">
        <f>RISULTATI!E14</f>
        <v/>
      </c>
      <c r="I15" s="79" t="str">
        <f>RISULTATI!F14</f>
        <v/>
      </c>
      <c r="J15" s="12" t="str">
        <f>RISULTATI!G14</f>
        <v/>
      </c>
      <c r="K15" s="12" t="str">
        <f>RISULTATI!H14</f>
        <v/>
      </c>
      <c r="L15" s="12" t="str">
        <f>RISULTATI!I14</f>
        <v/>
      </c>
      <c r="M15" s="79" t="str">
        <f>RISULTATI!J14</f>
        <v/>
      </c>
      <c r="N15" s="12" t="str">
        <f>RISULTATI!K14</f>
        <v/>
      </c>
      <c r="O15" s="12" t="str">
        <f>RISULTATI!L14</f>
        <v/>
      </c>
      <c r="P15" s="12" t="str">
        <f>RISULTATI!M14</f>
        <v/>
      </c>
      <c r="Q15" s="79" t="str">
        <f>RISULTATI!N14</f>
        <v/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 t="str">
        <f>RISULTATI!W14</f>
        <v/>
      </c>
    </row>
    <row r="16" spans="1:26" ht="20" customHeight="1" x14ac:dyDescent="0.2">
      <c r="A16" s="71">
        <v>11</v>
      </c>
      <c r="B16" s="67" t="str">
        <f>'CLASSIFICA ORDINATA'!B15</f>
        <v>TLM_SKIZZO 34</v>
      </c>
      <c r="C16" s="67" t="str">
        <f>VLOOKUP(B16,nomi!B:C,2,FALSE)</f>
        <v>TLM_SKIZZO 34</v>
      </c>
      <c r="D16" s="67" t="str">
        <f>VLOOKUP(B16,nomi!B:G,6,FALSE)</f>
        <v>TLM</v>
      </c>
      <c r="E16" s="67">
        <f>VLOOKUP(B16,nomi!B:I,8,FALSE)</f>
        <v>34</v>
      </c>
      <c r="F16" s="12" t="str">
        <f>RISULTATI!C15</f>
        <v/>
      </c>
      <c r="G16" s="12" t="str">
        <f>RISULTATI!D15</f>
        <v/>
      </c>
      <c r="H16" s="12" t="str">
        <f>RISULTATI!E15</f>
        <v/>
      </c>
      <c r="I16" s="79" t="str">
        <f>RISULTATI!F15</f>
        <v/>
      </c>
      <c r="J16" s="12" t="str">
        <f>RISULTATI!G15</f>
        <v/>
      </c>
      <c r="K16" s="12" t="str">
        <f>RISULTATI!H15</f>
        <v/>
      </c>
      <c r="L16" s="12" t="str">
        <f>RISULTATI!I15</f>
        <v/>
      </c>
      <c r="M16" s="79" t="str">
        <f>RISULTATI!J15</f>
        <v/>
      </c>
      <c r="N16" s="12" t="str">
        <f>RISULTATI!K15</f>
        <v/>
      </c>
      <c r="O16" s="12" t="str">
        <f>RISULTATI!L15</f>
        <v/>
      </c>
      <c r="P16" s="12" t="str">
        <f>RISULTATI!M15</f>
        <v/>
      </c>
      <c r="Q16" s="79" t="str">
        <f>RISULTATI!N15</f>
        <v/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 t="str">
        <f>RISULTATI!W15</f>
        <v/>
      </c>
    </row>
    <row r="17" spans="1:16353" ht="20" customHeight="1" x14ac:dyDescent="0.2">
      <c r="A17" s="71">
        <v>12</v>
      </c>
      <c r="B17" s="67" t="str">
        <f>'CLASSIFICA ORDINATA'!B16</f>
        <v>Silentium884</v>
      </c>
      <c r="C17" s="67" t="str">
        <f>VLOOKUP(B17,nomi!B:C,2,FALSE)</f>
        <v>TLM_Sile</v>
      </c>
      <c r="D17" s="67" t="str">
        <f>VLOOKUP(B17,nomi!B:G,6,FALSE)</f>
        <v>TLM</v>
      </c>
      <c r="E17" s="67">
        <f>VLOOKUP(B17,nomi!B:I,8,FALSE)</f>
        <v>81</v>
      </c>
      <c r="F17" s="12" t="str">
        <f>RISULTATI!C16</f>
        <v/>
      </c>
      <c r="G17" s="12" t="str">
        <f>RISULTATI!D16</f>
        <v/>
      </c>
      <c r="H17" s="12" t="str">
        <f>RISULTATI!E16</f>
        <v/>
      </c>
      <c r="I17" s="79" t="str">
        <f>RISULTATI!F16</f>
        <v/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9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 t="str">
        <f>RISULTATI!W16</f>
        <v/>
      </c>
    </row>
    <row r="18" spans="1:16353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</v>
      </c>
      <c r="D18" s="67" t="str">
        <f>VLOOKUP(B18,nomi!B:G,6,FALSE)</f>
        <v>TLM</v>
      </c>
      <c r="E18" s="67">
        <f>VLOOKUP(B18,nomi!B:I,8,FALSE)</f>
        <v>22</v>
      </c>
      <c r="F18" s="12" t="str">
        <f>RISULTATI!C17</f>
        <v/>
      </c>
      <c r="G18" s="12" t="str">
        <f>RISULTATI!D17</f>
        <v/>
      </c>
      <c r="H18" s="12" t="str">
        <f>RISULTATI!E17</f>
        <v/>
      </c>
      <c r="I18" s="79" t="str">
        <f>RISULTATI!F17</f>
        <v/>
      </c>
      <c r="J18" s="12" t="str">
        <f>RISULTATI!G17</f>
        <v/>
      </c>
      <c r="K18" s="12" t="str">
        <f>RISULTATI!H17</f>
        <v/>
      </c>
      <c r="L18" s="12" t="str">
        <f>RISULTATI!I17</f>
        <v/>
      </c>
      <c r="M18" s="79" t="str">
        <f>RISULTATI!J17</f>
        <v/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 t="str">
        <f>RISULTATI!W17</f>
        <v/>
      </c>
    </row>
    <row r="19" spans="1:16353" ht="20" customHeight="1" x14ac:dyDescent="0.2">
      <c r="A19" s="71">
        <v>14</v>
      </c>
      <c r="B19" s="67" t="str">
        <f>'CLASSIFICA ORDINATA'!B18</f>
        <v>Isnotacrime</v>
      </c>
      <c r="C19" s="67" t="str">
        <f>VLOOKUP(B19,nomi!B:C,2,FALSE)</f>
        <v xml:space="preserve">TLM isnotacrime </v>
      </c>
      <c r="D19" s="67" t="str">
        <f>VLOOKUP(B19,nomi!B:G,6,FALSE)</f>
        <v>TLM</v>
      </c>
      <c r="E19" s="67">
        <f>VLOOKUP(B19,nomi!B:I,8,FALSE)</f>
        <v>13</v>
      </c>
      <c r="F19" s="12" t="str">
        <f>RISULTATI!C18</f>
        <v/>
      </c>
      <c r="G19" s="12" t="str">
        <f>RISULTATI!D18</f>
        <v/>
      </c>
      <c r="H19" s="12" t="str">
        <f>RISULTATI!E18</f>
        <v/>
      </c>
      <c r="I19" s="79" t="str">
        <f>RISULTATI!F18</f>
        <v/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 t="str">
        <f>RISULTATI!W18</f>
        <v/>
      </c>
    </row>
    <row r="20" spans="1:16353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125">
        <f>VLOOKUP(B20,nomi!B:I,8,FALSE)</f>
        <v>33</v>
      </c>
      <c r="F20" s="12" t="str">
        <f>RISULTATI!C19</f>
        <v/>
      </c>
      <c r="G20" s="12" t="str">
        <f>RISULTATI!D19</f>
        <v/>
      </c>
      <c r="H20" s="12" t="str">
        <f>RISULTATI!E19</f>
        <v/>
      </c>
      <c r="I20" s="79" t="str">
        <f>RISULTATI!F19</f>
        <v/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 t="str">
        <f>RISULTATI!W19</f>
        <v/>
      </c>
    </row>
    <row r="21" spans="1:16353" ht="20" customHeight="1" x14ac:dyDescent="0.25">
      <c r="A21" s="71">
        <v>16</v>
      </c>
      <c r="B21" s="67" t="str">
        <f>'CLASSIFICA ORDINATA'!B20</f>
        <v>Liotru1979</v>
      </c>
      <c r="C21" s="67" t="str">
        <f>VLOOKUP(B21,nomi!B:C,2,FALSE)</f>
        <v xml:space="preserve">TLM Max </v>
      </c>
      <c r="D21" s="67" t="str">
        <f>VLOOKUP(B21,nomi!B:G,6,FALSE)</f>
        <v>TLM</v>
      </c>
      <c r="E21" s="130">
        <f>VLOOKUP(B21,nomi!B:I,8,FALSE)</f>
        <v>79</v>
      </c>
      <c r="F21" s="12" t="str">
        <f>RISULTATI!C20</f>
        <v/>
      </c>
      <c r="G21" s="12" t="str">
        <f>RISULTATI!D20</f>
        <v/>
      </c>
      <c r="H21" s="12" t="str">
        <f>RISULTATI!E20</f>
        <v/>
      </c>
      <c r="I21" s="79" t="str">
        <f>RISULTATI!F20</f>
        <v/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 t="str">
        <f>RISULTATI!W20</f>
        <v/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">
      <c r="A22" s="92" t="s">
        <v>30</v>
      </c>
      <c r="B22" s="110"/>
      <c r="C22" s="47"/>
      <c r="D22" s="47"/>
      <c r="E22" s="126"/>
      <c r="F22" s="34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16353" ht="20" customHeight="1" x14ac:dyDescent="0.2">
      <c r="A23" s="68" t="s">
        <v>2</v>
      </c>
      <c r="B23" s="67" t="str">
        <f>'CLASSIFICA ORDINATA'!B22</f>
        <v>Chry-77</v>
      </c>
      <c r="C23" s="67" t="str">
        <f>VLOOKUP(B23,nomi!B:C,2,FALSE)</f>
        <v>TLM_Chry-77</v>
      </c>
      <c r="D23" s="67" t="str">
        <f>VLOOKUP(B23,nomi!B:G,6,FALSE)</f>
        <v>TLM</v>
      </c>
      <c r="E23" s="130">
        <f>VLOOKUP(B23,nomi!B:I,8,FALSE)</f>
        <v>77</v>
      </c>
      <c r="F23" s="12" t="str">
        <f>RISULTATI!C22</f>
        <v/>
      </c>
      <c r="G23" s="12" t="str">
        <f>RISULTATI!D22</f>
        <v/>
      </c>
      <c r="H23" s="12" t="str">
        <f>RISULTATI!E22</f>
        <v/>
      </c>
      <c r="I23" s="79" t="str">
        <f>RISULTATI!F22</f>
        <v/>
      </c>
      <c r="J23" s="12" t="str">
        <f>RISULTATI!G22</f>
        <v/>
      </c>
      <c r="K23" s="12" t="str">
        <f>RISULTATI!H22</f>
        <v/>
      </c>
      <c r="L23" s="12" t="str">
        <f>RISULTATI!I22</f>
        <v/>
      </c>
      <c r="M23" s="79" t="str">
        <f>RISULTATI!J22</f>
        <v/>
      </c>
      <c r="N23" s="12" t="str">
        <f>RISULTATI!K22</f>
        <v/>
      </c>
      <c r="O23" s="12" t="str">
        <f>RISULTATI!L22</f>
        <v/>
      </c>
      <c r="P23" s="12" t="str">
        <f>RISULTATI!M22</f>
        <v/>
      </c>
      <c r="Q23" s="79" t="str">
        <f>RISULTATI!N22</f>
        <v/>
      </c>
      <c r="R23" s="12" t="str">
        <f>RISULTATI!O22</f>
        <v/>
      </c>
      <c r="S23" s="12" t="str">
        <f>RISULTATI!P22</f>
        <v/>
      </c>
      <c r="T23" s="12" t="str">
        <f>RISULTATI!Q22</f>
        <v/>
      </c>
      <c r="U23" s="79" t="str">
        <f>RISULTATI!R22</f>
        <v/>
      </c>
      <c r="V23" s="12" t="str">
        <f>RISULTATI!S22</f>
        <v/>
      </c>
      <c r="W23" s="12" t="str">
        <f>RISULTATI!T22</f>
        <v/>
      </c>
      <c r="X23" s="12" t="str">
        <f>RISULTATI!U22</f>
        <v/>
      </c>
      <c r="Y23" s="79" t="str">
        <f>RISULTATI!V22</f>
        <v/>
      </c>
      <c r="Z23" s="80" t="str">
        <f>RISULTATI!W22</f>
        <v/>
      </c>
    </row>
    <row r="24" spans="1:16353" ht="20" customHeight="1" x14ac:dyDescent="0.2">
      <c r="A24" s="69" t="s">
        <v>3</v>
      </c>
      <c r="B24" s="67" t="str">
        <f>'CLASSIFICA ORDINATA'!B23</f>
        <v>mark126p</v>
      </c>
      <c r="C24" s="67" t="str">
        <f>VLOOKUP(B24,nomi!B:C,2,FALSE)</f>
        <v>Tlm mark126p</v>
      </c>
      <c r="D24" s="67" t="str">
        <f>VLOOKUP(B24,nomi!B:G,6,FALSE)</f>
        <v>TLM</v>
      </c>
      <c r="E24" s="77">
        <f>VLOOKUP(B24,nomi!B:I,8,FALSE)</f>
        <v>4</v>
      </c>
      <c r="F24" s="12" t="str">
        <f>RISULTATI!C23</f>
        <v/>
      </c>
      <c r="G24" s="12" t="str">
        <f>RISULTATI!D23</f>
        <v/>
      </c>
      <c r="H24" s="12" t="str">
        <f>RISULTATI!E23</f>
        <v/>
      </c>
      <c r="I24" s="79" t="str">
        <f>RISULTATI!F23</f>
        <v/>
      </c>
      <c r="J24" s="12" t="str">
        <f>RISULTATI!G23</f>
        <v/>
      </c>
      <c r="K24" s="12" t="str">
        <f>RISULTATI!H23</f>
        <v/>
      </c>
      <c r="L24" s="12" t="str">
        <f>RISULTATI!I23</f>
        <v/>
      </c>
      <c r="M24" s="79" t="str">
        <f>RISULTATI!J23</f>
        <v/>
      </c>
      <c r="N24" s="12" t="str">
        <f>RISULTATI!K23</f>
        <v/>
      </c>
      <c r="O24" s="12" t="str">
        <f>RISULTATI!L23</f>
        <v/>
      </c>
      <c r="P24" s="12" t="str">
        <f>RISULTATI!M23</f>
        <v/>
      </c>
      <c r="Q24" s="79" t="str">
        <f>RISULTATI!N23</f>
        <v/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 t="str">
        <f>RISULTATI!W23</f>
        <v/>
      </c>
    </row>
    <row r="25" spans="1:16353" ht="20" customHeight="1" x14ac:dyDescent="0.2">
      <c r="A25" s="70" t="s">
        <v>4</v>
      </c>
      <c r="B25" s="67" t="str">
        <f>'CLASSIFICA ORDINATA'!B24</f>
        <v>Parenji</v>
      </c>
      <c r="C25" s="67" t="str">
        <f>VLOOKUP(B25,nomi!B:C,2,FALSE)</f>
        <v>TLM_Parenti</v>
      </c>
      <c r="D25" s="67" t="str">
        <f>VLOOKUP(B25,nomi!B:G,6,FALSE)</f>
        <v>TLM</v>
      </c>
      <c r="E25" s="67">
        <f>VLOOKUP(B25,nomi!B:I,8,FALSE)</f>
        <v>8</v>
      </c>
      <c r="F25" s="12" t="str">
        <f>RISULTATI!C24</f>
        <v/>
      </c>
      <c r="G25" s="12" t="str">
        <f>RISULTATI!D24</f>
        <v/>
      </c>
      <c r="H25" s="12" t="str">
        <f>RISULTATI!E24</f>
        <v/>
      </c>
      <c r="I25" s="79" t="str">
        <f>RISULTATI!F24</f>
        <v/>
      </c>
      <c r="J25" s="12" t="str">
        <f>RISULTATI!G24</f>
        <v/>
      </c>
      <c r="K25" s="12" t="str">
        <f>RISULTATI!H24</f>
        <v/>
      </c>
      <c r="L25" s="12" t="str">
        <f>RISULTATI!I24</f>
        <v/>
      </c>
      <c r="M25" s="79" t="str">
        <f>RISULTATI!J24</f>
        <v/>
      </c>
      <c r="N25" s="12" t="str">
        <f>RISULTATI!K24</f>
        <v/>
      </c>
      <c r="O25" s="12" t="str">
        <f>RISULTATI!L24</f>
        <v/>
      </c>
      <c r="P25" s="12" t="str">
        <f>RISULTATI!M24</f>
        <v/>
      </c>
      <c r="Q25" s="79" t="str">
        <f>RISULTATI!N24</f>
        <v/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 t="str">
        <f>RISULTATI!W24</f>
        <v/>
      </c>
    </row>
    <row r="26" spans="1:16353" ht="20" customHeight="1" x14ac:dyDescent="0.2">
      <c r="A26" s="71" t="s">
        <v>5</v>
      </c>
      <c r="B26" s="67" t="str">
        <f>'CLASSIFICA ORDINATA'!B25</f>
        <v>Asseemazz</v>
      </c>
      <c r="C26" s="67" t="str">
        <f>VLOOKUP(B26,nomi!B:C,2,FALSE)</f>
        <v>TLM_GAMMA</v>
      </c>
      <c r="D26" s="67" t="str">
        <f>VLOOKUP(B26,nomi!B:G,6,FALSE)</f>
        <v>TLM</v>
      </c>
      <c r="E26" s="67">
        <f>VLOOKUP(B26,nomi!B:I,8,FALSE)</f>
        <v>33</v>
      </c>
      <c r="F26" s="12" t="str">
        <f>RISULTATI!C25</f>
        <v/>
      </c>
      <c r="G26" s="12" t="str">
        <f>RISULTATI!D25</f>
        <v/>
      </c>
      <c r="H26" s="12" t="str">
        <f>RISULTATI!E25</f>
        <v/>
      </c>
      <c r="I26" s="79" t="str">
        <f>RISULTATI!F25</f>
        <v/>
      </c>
      <c r="J26" s="12" t="str">
        <f>RISULTATI!G25</f>
        <v/>
      </c>
      <c r="K26" s="12" t="str">
        <f>RISULTATI!H25</f>
        <v/>
      </c>
      <c r="L26" s="12" t="str">
        <f>RISULTATI!I25</f>
        <v/>
      </c>
      <c r="M26" s="79" t="str">
        <f>RISULTATI!J25</f>
        <v/>
      </c>
      <c r="N26" s="12" t="str">
        <f>RISULTATI!K25</f>
        <v/>
      </c>
      <c r="O26" s="12" t="str">
        <f>RISULTATI!L25</f>
        <v/>
      </c>
      <c r="P26" s="12" t="str">
        <f>RISULTATI!M25</f>
        <v/>
      </c>
      <c r="Q26" s="79" t="str">
        <f>RISULTATI!N25</f>
        <v/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 t="str">
        <f>RISULTATI!W25</f>
        <v/>
      </c>
    </row>
    <row r="27" spans="1:16353" ht="20" customHeight="1" x14ac:dyDescent="0.2">
      <c r="A27" s="71" t="s">
        <v>6</v>
      </c>
      <c r="B27" s="67" t="str">
        <f>'CLASSIFICA ORDINATA'!B26</f>
        <v>Rupetheking</v>
      </c>
      <c r="C27" s="67" t="str">
        <f>VLOOKUP(B27,nomi!B:C,2,FALSE)</f>
        <v xml:space="preserve">Tlm-rupetheking </v>
      </c>
      <c r="D27" s="67" t="str">
        <f>VLOOKUP(B27,nomi!B:G,6,FALSE)</f>
        <v>TLM</v>
      </c>
      <c r="E27" s="67">
        <f>VLOOKUP(B27,nomi!B:I,8,FALSE)</f>
        <v>44</v>
      </c>
      <c r="F27" s="12" t="str">
        <f>RISULTATI!C26</f>
        <v/>
      </c>
      <c r="G27" s="12" t="str">
        <f>RISULTATI!D26</f>
        <v/>
      </c>
      <c r="H27" s="12" t="str">
        <f>RISULTATI!E26</f>
        <v/>
      </c>
      <c r="I27" s="79" t="str">
        <f>RISULTATI!F26</f>
        <v/>
      </c>
      <c r="J27" s="12" t="str">
        <f>RISULTATI!G26</f>
        <v/>
      </c>
      <c r="K27" s="12" t="str">
        <f>RISULTATI!H26</f>
        <v/>
      </c>
      <c r="L27" s="12" t="str">
        <f>RISULTATI!I26</f>
        <v/>
      </c>
      <c r="M27" s="79" t="str">
        <f>RISULTATI!J26</f>
        <v/>
      </c>
      <c r="N27" s="12" t="str">
        <f>RISULTATI!K26</f>
        <v/>
      </c>
      <c r="O27" s="12" t="str">
        <f>RISULTATI!L26</f>
        <v/>
      </c>
      <c r="P27" s="12" t="str">
        <f>RISULTATI!M26</f>
        <v/>
      </c>
      <c r="Q27" s="79" t="str">
        <f>RISULTATI!N26</f>
        <v/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 t="str">
        <f>RISULTATI!W26</f>
        <v/>
      </c>
    </row>
    <row r="28" spans="1:16353" ht="20" customHeight="1" x14ac:dyDescent="0.2">
      <c r="A28" s="71" t="s">
        <v>7</v>
      </c>
      <c r="B28" s="67" t="str">
        <f>'CLASSIFICA ORDINATA'!B27</f>
        <v>TLM_Sicily22</v>
      </c>
      <c r="C28" s="67" t="str">
        <f>VLOOKUP(B28,nomi!B:C,2,FALSE)</f>
        <v>M.Di Bartolo</v>
      </c>
      <c r="D28" s="67" t="str">
        <f>VLOOKUP(B28,nomi!B:G,6,FALSE)</f>
        <v>TLM</v>
      </c>
      <c r="E28" s="67">
        <f>VLOOKUP(B28,nomi!B:I,8,FALSE)</f>
        <v>1</v>
      </c>
      <c r="F28" s="12" t="str">
        <f>RISULTATI!C27</f>
        <v/>
      </c>
      <c r="G28" s="12" t="str">
        <f>RISULTATI!D27</f>
        <v/>
      </c>
      <c r="H28" s="12" t="str">
        <f>RISULTATI!E27</f>
        <v/>
      </c>
      <c r="I28" s="79" t="str">
        <f>RISULTATI!F27</f>
        <v/>
      </c>
      <c r="J28" s="12" t="str">
        <f>RISULTATI!G27</f>
        <v/>
      </c>
      <c r="K28" s="12" t="str">
        <f>RISULTATI!H27</f>
        <v/>
      </c>
      <c r="L28" s="12" t="str">
        <f>RISULTATI!I27</f>
        <v/>
      </c>
      <c r="M28" s="79" t="str">
        <f>RISULTATI!J27</f>
        <v/>
      </c>
      <c r="N28" s="12" t="str">
        <f>RISULTATI!K27</f>
        <v/>
      </c>
      <c r="O28" s="12" t="str">
        <f>RISULTATI!L27</f>
        <v/>
      </c>
      <c r="P28" s="12" t="str">
        <f>RISULTATI!M27</f>
        <v/>
      </c>
      <c r="Q28" s="79" t="str">
        <f>RISULTATI!N27</f>
        <v/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 t="str">
        <f>RISULTATI!W27</f>
        <v/>
      </c>
    </row>
    <row r="29" spans="1:16353" ht="20" customHeight="1" x14ac:dyDescent="0.2">
      <c r="A29" s="71" t="s">
        <v>8</v>
      </c>
      <c r="B29" s="67" t="str">
        <f>'CLASSIFICA ORDINATA'!B28</f>
        <v>andvea_99</v>
      </c>
      <c r="C29" s="67" t="str">
        <f>VLOOKUP(B29,nomi!B:C,2,FALSE)</f>
        <v>TLM_andvea99</v>
      </c>
      <c r="D29" s="67" t="str">
        <f>VLOOKUP(B29,nomi!B:G,6,FALSE)</f>
        <v>TLM</v>
      </c>
      <c r="E29" s="67">
        <f>VLOOKUP(B29,nomi!B:I,8,FALSE)</f>
        <v>99</v>
      </c>
      <c r="F29" s="12" t="str">
        <f>RISULTATI!C28</f>
        <v/>
      </c>
      <c r="G29" s="12" t="str">
        <f>RISULTATI!D28</f>
        <v/>
      </c>
      <c r="H29" s="12" t="str">
        <f>RISULTATI!E28</f>
        <v/>
      </c>
      <c r="I29" s="79" t="str">
        <f>RISULTATI!F28</f>
        <v/>
      </c>
      <c r="J29" s="12" t="str">
        <f>RISULTATI!G28</f>
        <v/>
      </c>
      <c r="K29" s="12" t="str">
        <f>RISULTATI!H28</f>
        <v/>
      </c>
      <c r="L29" s="12" t="str">
        <f>RISULTATI!I28</f>
        <v/>
      </c>
      <c r="M29" s="79" t="str">
        <f>RISULTATI!J28</f>
        <v/>
      </c>
      <c r="N29" s="12" t="str">
        <f>RISULTATI!K28</f>
        <v/>
      </c>
      <c r="O29" s="12" t="str">
        <f>RISULTATI!L28</f>
        <v/>
      </c>
      <c r="P29" s="12" t="str">
        <f>RISULTATI!M28</f>
        <v/>
      </c>
      <c r="Q29" s="79" t="str">
        <f>RISULTATI!N28</f>
        <v/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 t="str">
        <f>RISULTATI!W28</f>
        <v/>
      </c>
    </row>
    <row r="30" spans="1:16353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67">
        <f>VLOOKUP(B30,nomi!B:I,8,FALSE)</f>
        <v>29</v>
      </c>
      <c r="F30" s="12" t="str">
        <f>RISULTATI!C29</f>
        <v/>
      </c>
      <c r="G30" s="12" t="str">
        <f>RISULTATI!D29</f>
        <v/>
      </c>
      <c r="H30" s="12" t="str">
        <f>RISULTATI!E29</f>
        <v/>
      </c>
      <c r="I30" s="79" t="str">
        <f>RISULTATI!F29</f>
        <v/>
      </c>
      <c r="J30" s="12" t="str">
        <f>RISULTATI!G29</f>
        <v/>
      </c>
      <c r="K30" s="12" t="str">
        <f>RISULTATI!H29</f>
        <v/>
      </c>
      <c r="L30" s="12" t="str">
        <f>RISULTATI!I29</f>
        <v/>
      </c>
      <c r="M30" s="79" t="str">
        <f>RISULTATI!J29</f>
        <v/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9" t="str">
        <f>RISULTATI!N29</f>
        <v/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 t="str">
        <f>RISULTATI!W29</f>
        <v/>
      </c>
    </row>
    <row r="31" spans="1:16353" ht="20" customHeight="1" x14ac:dyDescent="0.2">
      <c r="A31" s="71" t="s">
        <v>10</v>
      </c>
      <c r="B31" s="67" t="str">
        <f>'CLASSIFICA ORDINATA'!B30</f>
        <v>TLM_michaelFox12</v>
      </c>
      <c r="C31" s="67" t="str">
        <f>VLOOKUP(B31,nomi!B:C,2,FALSE)</f>
        <v>TLM_michaelfox12</v>
      </c>
      <c r="D31" s="67" t="str">
        <f>VLOOKUP(B31,nomi!B:G,6,FALSE)</f>
        <v>TLM</v>
      </c>
      <c r="E31" s="67">
        <f>VLOOKUP(B31,nomi!B:I,8,FALSE)</f>
        <v>12</v>
      </c>
      <c r="F31" s="12" t="str">
        <f>RISULTATI!C30</f>
        <v/>
      </c>
      <c r="G31" s="12" t="str">
        <f>RISULTATI!D30</f>
        <v/>
      </c>
      <c r="H31" s="12" t="str">
        <f>RISULTATI!E30</f>
        <v/>
      </c>
      <c r="I31" s="79" t="str">
        <f>RISULTATI!F30</f>
        <v/>
      </c>
      <c r="J31" s="12" t="str">
        <f>RISULTATI!G30</f>
        <v/>
      </c>
      <c r="K31" s="12" t="str">
        <f>RISULTATI!H30</f>
        <v/>
      </c>
      <c r="L31" s="12" t="str">
        <f>RISULTATI!I30</f>
        <v/>
      </c>
      <c r="M31" s="79" t="str">
        <f>RISULTATI!J30</f>
        <v/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 t="str">
        <f>RISULTATI!W30</f>
        <v/>
      </c>
    </row>
    <row r="32" spans="1:16353" ht="20" customHeight="1" x14ac:dyDescent="0.2">
      <c r="A32" s="71" t="s">
        <v>11</v>
      </c>
      <c r="B32" s="67" t="str">
        <f>'CLASSIFICA ORDINATA'!B31</f>
        <v>Tonyroto74</v>
      </c>
      <c r="C32" s="67" t="str">
        <f>VLOOKUP(B32,nomi!B:C,2,FALSE)</f>
        <v>Tonyroto</v>
      </c>
      <c r="D32" s="67" t="str">
        <f>VLOOKUP(B32,nomi!B:G,6,FALSE)</f>
        <v>TLM</v>
      </c>
      <c r="E32" s="67">
        <f>VLOOKUP(B32,nomi!B:I,8,FALSE)</f>
        <v>74</v>
      </c>
      <c r="F32" s="12" t="str">
        <f>RISULTATI!C31</f>
        <v/>
      </c>
      <c r="G32" s="12" t="str">
        <f>RISULTATI!D31</f>
        <v/>
      </c>
      <c r="H32" s="12" t="str">
        <f>RISULTATI!E31</f>
        <v/>
      </c>
      <c r="I32" s="79" t="str">
        <f>RISULTATI!F31</f>
        <v/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9" t="str">
        <f>RISULTATI!J31</f>
        <v/>
      </c>
      <c r="N32" s="12" t="str">
        <f>RISULTATI!K31</f>
        <v/>
      </c>
      <c r="O32" s="12" t="str">
        <f>RISULTATI!L31</f>
        <v/>
      </c>
      <c r="P32" s="12" t="str">
        <f>RISULTATI!M31</f>
        <v/>
      </c>
      <c r="Q32" s="79" t="str">
        <f>RISULTATI!N31</f>
        <v/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 t="str">
        <f>RISULTATI!W31</f>
        <v/>
      </c>
    </row>
    <row r="33" spans="1:26" ht="20" customHeight="1" x14ac:dyDescent="0.2">
      <c r="A33" s="71" t="s">
        <v>12</v>
      </c>
      <c r="B33" s="67" t="str">
        <f>'CLASSIFICA ORDINATA'!B32</f>
        <v>TLM_dimaa66</v>
      </c>
      <c r="C33" s="67" t="str">
        <f>VLOOKUP(B33,nomi!B:C,2,FALSE)</f>
        <v>TLM_Dimaaa_66</v>
      </c>
      <c r="D33" s="67" t="str">
        <f>VLOOKUP(B33,nomi!B:G,6,FALSE)</f>
        <v>TLM</v>
      </c>
      <c r="E33" s="67">
        <f>VLOOKUP(B33,nomi!B:I,8,FALSE)</f>
        <v>66</v>
      </c>
      <c r="F33" s="12" t="str">
        <f>RISULTATI!C32</f>
        <v/>
      </c>
      <c r="G33" s="12" t="str">
        <f>RISULTATI!D32</f>
        <v/>
      </c>
      <c r="H33" s="12" t="str">
        <f>RISULTATI!E32</f>
        <v/>
      </c>
      <c r="I33" s="79" t="str">
        <f>RISULTATI!F32</f>
        <v/>
      </c>
      <c r="J33" s="12" t="str">
        <f>RISULTATI!G32</f>
        <v/>
      </c>
      <c r="K33" s="12" t="str">
        <f>RISULTATI!H32</f>
        <v/>
      </c>
      <c r="L33" s="12" t="str">
        <f>RISULTATI!I32</f>
        <v/>
      </c>
      <c r="M33" s="79" t="str">
        <f>RISULTATI!J32</f>
        <v/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 t="str">
        <f>RISULTATI!W32</f>
        <v/>
      </c>
    </row>
    <row r="34" spans="1:26" ht="20" customHeight="1" x14ac:dyDescent="0.2">
      <c r="A34" s="71" t="s">
        <v>13</v>
      </c>
      <c r="B34" s="67" t="str">
        <f>'CLASSIFICA ORDINATA'!B33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67">
        <f>VLOOKUP(B34,nomi!B:I,8,FALSE)</f>
        <v>25</v>
      </c>
      <c r="F34" s="12" t="str">
        <f>RISULTATI!C33</f>
        <v/>
      </c>
      <c r="G34" s="12" t="str">
        <f>RISULTATI!D33</f>
        <v/>
      </c>
      <c r="H34" s="12" t="str">
        <f>RISULTATI!E33</f>
        <v/>
      </c>
      <c r="I34" s="79" t="str">
        <f>RISULTATI!F33</f>
        <v/>
      </c>
      <c r="J34" s="12" t="str">
        <f>RISULTATI!G33</f>
        <v/>
      </c>
      <c r="K34" s="12" t="str">
        <f>RISULTATI!H33</f>
        <v/>
      </c>
      <c r="L34" s="12" t="str">
        <f>RISULTATI!I33</f>
        <v/>
      </c>
      <c r="M34" s="79" t="str">
        <f>RISULTATI!J33</f>
        <v/>
      </c>
      <c r="N34" s="12" t="str">
        <f>RISULTATI!K33</f>
        <v/>
      </c>
      <c r="O34" s="12" t="str">
        <f>RISULTATI!L33</f>
        <v/>
      </c>
      <c r="P34" s="12" t="str">
        <f>RISULTATI!M33</f>
        <v/>
      </c>
      <c r="Q34" s="79" t="str">
        <f>RISULTATI!N33</f>
        <v/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 t="str">
        <f>RISULTATI!W33</f>
        <v/>
      </c>
    </row>
    <row r="35" spans="1:26" ht="20" customHeight="1" x14ac:dyDescent="0.2">
      <c r="A35" s="71">
        <v>13</v>
      </c>
      <c r="B35" s="67" t="str">
        <f>'CLASSIFICA ORDINATA'!B34</f>
        <v>Ulix1990</v>
      </c>
      <c r="C35" s="67" t="str">
        <f>VLOOKUP(B35,nomi!B:C,2,FALSE)</f>
        <v>TLM_Ulix1990</v>
      </c>
      <c r="D35" s="67" t="str">
        <f>VLOOKUP(B35,nomi!B:G,6,FALSE)</f>
        <v>TLM</v>
      </c>
      <c r="E35" s="67">
        <f>VLOOKUP(B35,nomi!B:I,8,FALSE)</f>
        <v>22</v>
      </c>
      <c r="F35" s="12" t="str">
        <f>RISULTATI!C34</f>
        <v/>
      </c>
      <c r="G35" s="12" t="str">
        <f>RISULTATI!D34</f>
        <v/>
      </c>
      <c r="H35" s="12" t="str">
        <f>RISULTATI!E34</f>
        <v/>
      </c>
      <c r="I35" s="79" t="str">
        <f>RISULTATI!F34</f>
        <v/>
      </c>
      <c r="J35" s="12" t="str">
        <f>RISULTATI!G34</f>
        <v/>
      </c>
      <c r="K35" s="12" t="str">
        <f>RISULTATI!H34</f>
        <v/>
      </c>
      <c r="L35" s="12" t="str">
        <f>RISULTATI!I34</f>
        <v/>
      </c>
      <c r="M35" s="79" t="str">
        <f>RISULTATI!J34</f>
        <v/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 t="str">
        <f>RISULTATI!W34</f>
        <v/>
      </c>
    </row>
    <row r="36" spans="1:26" ht="20" customHeight="1" x14ac:dyDescent="0.2">
      <c r="A36" s="71">
        <v>14</v>
      </c>
      <c r="B36" s="67" t="str">
        <f>'CLASSIFICA ORDINATA'!B35</f>
        <v>CTR_ocior-78</v>
      </c>
      <c r="C36" s="67" t="str">
        <f>VLOOKUP(B36,nomi!B:C,2,FALSE)</f>
        <v>TLM-Ocior78</v>
      </c>
      <c r="D36" s="67" t="str">
        <f>VLOOKUP(B36,nomi!B:G,6,FALSE)</f>
        <v>TLM</v>
      </c>
      <c r="E36" s="67">
        <f>VLOOKUP(B36,nomi!B:I,8,FALSE)</f>
        <v>104</v>
      </c>
      <c r="F36" s="12" t="str">
        <f>RISULTATI!C35</f>
        <v/>
      </c>
      <c r="G36" s="12" t="str">
        <f>RISULTATI!D35</f>
        <v/>
      </c>
      <c r="H36" s="12" t="str">
        <f>RISULTATI!E35</f>
        <v/>
      </c>
      <c r="I36" s="79" t="str">
        <f>RISULTATI!F35</f>
        <v/>
      </c>
      <c r="J36" s="12" t="str">
        <f>RISULTATI!G35</f>
        <v/>
      </c>
      <c r="K36" s="12" t="str">
        <f>RISULTATI!H35</f>
        <v/>
      </c>
      <c r="L36" s="12" t="str">
        <f>RISULTATI!I35</f>
        <v/>
      </c>
      <c r="M36" s="79" t="str">
        <f>RISULTATI!J35</f>
        <v/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 t="str">
        <f>RISULTATI!W35</f>
        <v/>
      </c>
    </row>
    <row r="37" spans="1:26" ht="20" customHeight="1" x14ac:dyDescent="0.2">
      <c r="A37" s="71" t="s">
        <v>20</v>
      </c>
      <c r="B37" s="67" t="str">
        <f>'CLASSIFICA ORDINATA'!B36</f>
        <v>TLM_SKIZZO 34</v>
      </c>
      <c r="C37" s="67" t="str">
        <f>VLOOKUP(B37,nomi!B:C,2,FALSE)</f>
        <v>TLM_SKIZZO 34</v>
      </c>
      <c r="D37" s="67" t="str">
        <f>VLOOKUP(B37,nomi!B:G,6,FALSE)</f>
        <v>TLM</v>
      </c>
      <c r="E37" s="67">
        <f>VLOOKUP(B37,nomi!B:I,8,FALSE)</f>
        <v>34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9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 t="str">
        <f>RISULTATI!W36</f>
        <v/>
      </c>
    </row>
    <row r="38" spans="1:26" ht="20" customHeight="1" x14ac:dyDescent="0.2">
      <c r="A38" s="71" t="s">
        <v>21</v>
      </c>
      <c r="B38" s="67" t="str">
        <f>'CLASSIFICA ORDINATA'!B37</f>
        <v>Mikedb__91__</v>
      </c>
      <c r="C38" s="67" t="str">
        <f>VLOOKUP(B38,nomi!B:C,2,FALSE)</f>
        <v>TLM-Mike91</v>
      </c>
      <c r="D38" s="67" t="str">
        <f>VLOOKUP(B38,nomi!B:G,6,FALSE)</f>
        <v>TLM</v>
      </c>
      <c r="E38" s="67">
        <f>VLOOKUP(B38,nomi!B:I,8,FALSE)</f>
        <v>3</v>
      </c>
      <c r="F38" s="12" t="str">
        <f>RISULTATI!C37</f>
        <v/>
      </c>
      <c r="G38" s="12" t="str">
        <f>RISULTATI!D37</f>
        <v/>
      </c>
      <c r="H38" s="12" t="str">
        <f>RISULTATI!E37</f>
        <v/>
      </c>
      <c r="I38" s="79" t="str">
        <f>RISULTATI!F37</f>
        <v/>
      </c>
      <c r="J38" s="12" t="str">
        <f>RISULTATI!G37</f>
        <v/>
      </c>
      <c r="K38" s="12" t="str">
        <f>RISULTATI!H37</f>
        <v/>
      </c>
      <c r="L38" s="12" t="str">
        <f>RISULTATI!I37</f>
        <v/>
      </c>
      <c r="M38" s="79" t="str">
        <f>RISULTATI!J37</f>
        <v/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 t="str">
        <f>RISULTATI!W37</f>
        <v/>
      </c>
    </row>
    <row r="39" spans="1:26" ht="20" customHeight="1" x14ac:dyDescent="0.2">
      <c r="A39" s="37"/>
      <c r="B39" s="38"/>
      <c r="C39" s="38"/>
      <c r="D39" s="38"/>
      <c r="E39" s="38"/>
    </row>
    <row r="40" spans="1:26" ht="20" customHeight="1" x14ac:dyDescent="0.2"/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3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15">
    <mergeCell ref="E3:E4"/>
    <mergeCell ref="V3:Y3"/>
    <mergeCell ref="Z3:Z4"/>
    <mergeCell ref="A5:B5"/>
    <mergeCell ref="A22:B22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13" t="e" vm="1">
        <v>#VALUE!</v>
      </c>
      <c r="B1" s="113"/>
      <c r="C1" s="113"/>
      <c r="D1" s="113"/>
      <c r="E1" s="113"/>
      <c r="F1" s="113"/>
      <c r="G1" s="113"/>
    </row>
    <row r="2" spans="1:7" ht="43" customHeight="1" x14ac:dyDescent="0.2">
      <c r="A2" s="114" t="s">
        <v>417</v>
      </c>
      <c r="B2" s="114"/>
      <c r="C2" s="114"/>
      <c r="D2" s="114"/>
      <c r="E2" s="114"/>
      <c r="F2" s="114"/>
      <c r="G2" s="114"/>
    </row>
    <row r="3" spans="1:7" ht="20" customHeight="1" x14ac:dyDescent="0.2">
      <c r="A3" s="115" t="s">
        <v>375</v>
      </c>
      <c r="B3" s="116"/>
      <c r="C3" s="117"/>
      <c r="D3" s="65"/>
      <c r="E3" s="115" t="s">
        <v>375</v>
      </c>
      <c r="F3" s="116"/>
      <c r="G3" s="117"/>
    </row>
    <row r="4" spans="1:7" ht="20" customHeight="1" x14ac:dyDescent="0.2">
      <c r="A4" s="66" t="s">
        <v>374</v>
      </c>
      <c r="B4" s="112" t="s">
        <v>48</v>
      </c>
      <c r="C4" s="112"/>
      <c r="D4" s="65"/>
      <c r="E4" s="66" t="s">
        <v>374</v>
      </c>
      <c r="F4" s="112" t="s">
        <v>60</v>
      </c>
      <c r="G4" s="112"/>
    </row>
    <row r="5" spans="1:7" ht="20" customHeight="1" x14ac:dyDescent="0.2">
      <c r="A5" s="111" t="s">
        <v>391</v>
      </c>
      <c r="B5" s="111"/>
      <c r="C5" s="111"/>
      <c r="D5" s="65"/>
      <c r="E5" s="111" t="s">
        <v>392</v>
      </c>
      <c r="F5" s="111"/>
      <c r="G5" s="111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421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421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18" t="s">
        <v>362</v>
      </c>
      <c r="B1" s="118"/>
      <c r="C1" s="118"/>
      <c r="D1" s="118"/>
      <c r="E1" s="118"/>
      <c r="F1" s="118"/>
      <c r="G1" s="118"/>
    </row>
    <row r="2" spans="1:7" ht="22" customHeight="1" x14ac:dyDescent="0.2">
      <c r="A2" s="119" t="s">
        <v>390</v>
      </c>
      <c r="B2" s="119"/>
      <c r="C2" s="119"/>
      <c r="D2" s="119"/>
      <c r="E2" s="119"/>
      <c r="F2" s="119"/>
      <c r="G2" s="119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/>
      <c r="C5" s="51"/>
      <c r="D5" s="51"/>
      <c r="E5" s="49"/>
      <c r="F5" s="49"/>
      <c r="G5" s="52"/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0" t="s">
        <v>373</v>
      </c>
      <c r="B13" s="120"/>
      <c r="C13" s="121"/>
      <c r="D13" s="121"/>
      <c r="E13" s="121"/>
      <c r="F13" s="121"/>
      <c r="G13" s="121"/>
    </row>
    <row r="14" spans="1:7" x14ac:dyDescent="0.2">
      <c r="A14" s="122" t="e" vm="2">
        <v>#VALUE!</v>
      </c>
      <c r="B14" s="122"/>
      <c r="C14" s="122"/>
      <c r="D14" s="122"/>
      <c r="E14" s="122"/>
      <c r="F14" s="122"/>
      <c r="G14" s="122"/>
    </row>
    <row r="15" spans="1:7" x14ac:dyDescent="0.2">
      <c r="A15" s="123"/>
      <c r="B15" s="123"/>
      <c r="C15" s="123"/>
      <c r="D15" s="123"/>
      <c r="E15" s="123"/>
      <c r="F15" s="123"/>
      <c r="G15" s="123"/>
    </row>
    <row r="16" spans="1:7" x14ac:dyDescent="0.2">
      <c r="A16" s="123"/>
      <c r="B16" s="123"/>
      <c r="C16" s="123"/>
      <c r="D16" s="123"/>
      <c r="E16" s="123"/>
      <c r="F16" s="123"/>
      <c r="G16" s="123"/>
    </row>
    <row r="17" spans="1:7" x14ac:dyDescent="0.2">
      <c r="A17" s="123"/>
      <c r="B17" s="123"/>
      <c r="C17" s="123"/>
      <c r="D17" s="123"/>
      <c r="E17" s="123"/>
      <c r="F17" s="123"/>
      <c r="G17" s="123"/>
    </row>
    <row r="18" spans="1:7" x14ac:dyDescent="0.2">
      <c r="A18" s="123"/>
      <c r="B18" s="123"/>
      <c r="C18" s="123"/>
      <c r="D18" s="123"/>
      <c r="E18" s="123"/>
      <c r="F18" s="123"/>
      <c r="G18" s="123"/>
    </row>
    <row r="19" spans="1:7" x14ac:dyDescent="0.2">
      <c r="A19" s="123"/>
      <c r="B19" s="123"/>
      <c r="C19" s="123"/>
      <c r="D19" s="123"/>
      <c r="E19" s="123"/>
      <c r="F19" s="123"/>
      <c r="G19" s="123"/>
    </row>
    <row r="20" spans="1:7" x14ac:dyDescent="0.2">
      <c r="A20" s="123"/>
      <c r="B20" s="123"/>
      <c r="C20" s="123"/>
      <c r="D20" s="123"/>
      <c r="E20" s="123"/>
      <c r="F20" s="123"/>
      <c r="G20" s="123"/>
    </row>
    <row r="21" spans="1:7" x14ac:dyDescent="0.2">
      <c r="A21" s="123"/>
      <c r="B21" s="123"/>
      <c r="C21" s="123"/>
      <c r="D21" s="123"/>
      <c r="E21" s="123"/>
      <c r="F21" s="123"/>
      <c r="G21" s="123"/>
    </row>
    <row r="22" spans="1:7" x14ac:dyDescent="0.2">
      <c r="A22" s="123"/>
      <c r="B22" s="123"/>
      <c r="C22" s="123"/>
      <c r="D22" s="123"/>
      <c r="E22" s="123"/>
      <c r="F22" s="123"/>
      <c r="G22" s="123"/>
    </row>
    <row r="23" spans="1:7" x14ac:dyDescent="0.2">
      <c r="A23" s="123"/>
      <c r="B23" s="123"/>
      <c r="C23" s="123"/>
      <c r="D23" s="123"/>
      <c r="E23" s="123"/>
      <c r="F23" s="123"/>
      <c r="G23" s="123"/>
    </row>
    <row r="24" spans="1:7" x14ac:dyDescent="0.2">
      <c r="A24" s="123"/>
      <c r="B24" s="123"/>
      <c r="C24" s="123"/>
      <c r="D24" s="123"/>
      <c r="E24" s="123"/>
      <c r="F24" s="123"/>
      <c r="G24" s="123"/>
    </row>
    <row r="25" spans="1:7" x14ac:dyDescent="0.2">
      <c r="A25" s="123"/>
      <c r="B25" s="123"/>
      <c r="C25" s="123"/>
      <c r="D25" s="123"/>
      <c r="E25" s="123"/>
      <c r="F25" s="123"/>
      <c r="G25" s="123"/>
    </row>
    <row r="26" spans="1:7" x14ac:dyDescent="0.2">
      <c r="A26" s="123"/>
      <c r="B26" s="123"/>
      <c r="C26" s="123"/>
      <c r="D26" s="123"/>
      <c r="E26" s="123"/>
      <c r="F26" s="123"/>
      <c r="G26" s="123"/>
    </row>
    <row r="27" spans="1:7" x14ac:dyDescent="0.2">
      <c r="A27" s="123"/>
      <c r="B27" s="123"/>
      <c r="C27" s="123"/>
      <c r="D27" s="123"/>
      <c r="E27" s="123"/>
      <c r="F27" s="123"/>
      <c r="G27" s="123"/>
    </row>
    <row r="28" spans="1:7" x14ac:dyDescent="0.2">
      <c r="A28" s="123"/>
      <c r="B28" s="123"/>
      <c r="C28" s="123"/>
      <c r="D28" s="123"/>
      <c r="E28" s="123"/>
      <c r="F28" s="123"/>
      <c r="G28" s="123"/>
    </row>
    <row r="29" spans="1:7" x14ac:dyDescent="0.2">
      <c r="A29" s="123"/>
      <c r="B29" s="123"/>
      <c r="C29" s="123"/>
      <c r="D29" s="123"/>
      <c r="E29" s="123"/>
      <c r="F29" s="123"/>
      <c r="G29" s="123"/>
    </row>
    <row r="30" spans="1:7" x14ac:dyDescent="0.2">
      <c r="A30" s="123"/>
      <c r="B30" s="123"/>
      <c r="C30" s="123"/>
      <c r="D30" s="123"/>
      <c r="E30" s="123"/>
      <c r="F30" s="123"/>
      <c r="G30" s="123"/>
    </row>
    <row r="31" spans="1:7" x14ac:dyDescent="0.2">
      <c r="A31" s="123"/>
      <c r="B31" s="123"/>
      <c r="C31" s="123"/>
      <c r="D31" s="123"/>
      <c r="E31" s="123"/>
      <c r="F31" s="123"/>
      <c r="G31" s="123"/>
    </row>
    <row r="32" spans="1:7" x14ac:dyDescent="0.2">
      <c r="A32" s="123"/>
      <c r="B32" s="123"/>
      <c r="C32" s="123"/>
      <c r="D32" s="123"/>
      <c r="E32" s="123"/>
      <c r="F32" s="123"/>
      <c r="G32" s="123"/>
    </row>
    <row r="33" spans="1:7" x14ac:dyDescent="0.2">
      <c r="A33" s="123"/>
      <c r="B33" s="123"/>
      <c r="C33" s="123"/>
      <c r="D33" s="123"/>
      <c r="E33" s="123"/>
      <c r="F33" s="123"/>
      <c r="G33" s="123"/>
    </row>
    <row r="34" spans="1:7" x14ac:dyDescent="0.2">
      <c r="A34" s="123"/>
      <c r="B34" s="123"/>
      <c r="C34" s="123"/>
      <c r="D34" s="123"/>
      <c r="E34" s="123"/>
      <c r="F34" s="123"/>
      <c r="G34" s="123"/>
    </row>
    <row r="35" spans="1:7" x14ac:dyDescent="0.2">
      <c r="A35" s="123"/>
      <c r="B35" s="123"/>
      <c r="C35" s="123"/>
      <c r="D35" s="123"/>
      <c r="E35" s="123"/>
      <c r="F35" s="123"/>
      <c r="G35" s="123"/>
    </row>
    <row r="36" spans="1:7" x14ac:dyDescent="0.2">
      <c r="A36" s="123"/>
      <c r="B36" s="123"/>
      <c r="C36" s="123"/>
      <c r="D36" s="123"/>
      <c r="E36" s="123"/>
      <c r="F36" s="123"/>
      <c r="G36" s="123"/>
    </row>
    <row r="37" spans="1:7" x14ac:dyDescent="0.2">
      <c r="A37" s="123"/>
      <c r="B37" s="123"/>
      <c r="C37" s="123"/>
      <c r="D37" s="123"/>
      <c r="E37" s="123"/>
      <c r="F37" s="123"/>
      <c r="G37" s="123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4"/>
      <c r="B2" s="124"/>
      <c r="C2" s="124"/>
      <c r="D2" s="124"/>
      <c r="E2" s="124"/>
      <c r="F2" s="124"/>
      <c r="G2" s="124"/>
      <c r="H2" s="15"/>
      <c r="I2" s="124"/>
      <c r="J2" s="124"/>
      <c r="K2" s="124"/>
      <c r="L2" s="124"/>
      <c r="M2" s="124"/>
      <c r="N2" s="124"/>
      <c r="O2" s="124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2024-10-17T00:46:34Z</dcterms:modified>
</cp:coreProperties>
</file>