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E1CF2DB5-014C-104A-8B3B-D6CE0100D197}" xr6:coauthVersionLast="47" xr6:coauthVersionMax="47" xr10:uidLastSave="{00000000-0000-0000-0000-000000000000}"/>
  <bookViews>
    <workbookView xWindow="9100" yWindow="500" windowWidth="24500" windowHeight="20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 a="1"/>
  <c r="B5" i="11" s="1"/>
  <c r="B23" i="11" a="1"/>
  <c r="B23" i="11" s="1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B25" i="12"/>
  <c r="E25" i="12" s="1"/>
  <c r="B26" i="12"/>
  <c r="E26" i="12" s="1"/>
  <c r="B27" i="12"/>
  <c r="E27" i="12" s="1"/>
  <c r="B28" i="12"/>
  <c r="E28" i="12" s="1"/>
  <c r="B29" i="12"/>
  <c r="E29" i="12" s="1"/>
  <c r="B30" i="12"/>
  <c r="D30" i="12" s="1"/>
  <c r="B31" i="12"/>
  <c r="E31" i="12" s="1"/>
  <c r="B32" i="12"/>
  <c r="E32" i="12" s="1"/>
  <c r="B33" i="12"/>
  <c r="E33" i="12" s="1"/>
  <c r="B34" i="12"/>
  <c r="E34" i="12" s="1"/>
  <c r="B35" i="12"/>
  <c r="E35" i="12" s="1"/>
  <c r="B36" i="12"/>
  <c r="E36" i="12" s="1"/>
  <c r="B37" i="12"/>
  <c r="E37" i="12" s="1"/>
  <c r="B38" i="12"/>
  <c r="D38" i="12" s="1"/>
  <c r="B39" i="12"/>
  <c r="E39" i="12" s="1"/>
  <c r="B40" i="12"/>
  <c r="E40" i="12" s="1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E40" i="9"/>
  <c r="E26" i="9"/>
  <c r="E27" i="9"/>
  <c r="E28" i="9"/>
  <c r="E29" i="9"/>
  <c r="E30" i="9"/>
  <c r="E34" i="9"/>
  <c r="E36" i="9"/>
  <c r="E37" i="9"/>
  <c r="E38" i="9"/>
  <c r="E39" i="9"/>
  <c r="B25" i="9"/>
  <c r="E25" i="9" s="1"/>
  <c r="B26" i="9"/>
  <c r="D26" i="9" s="1"/>
  <c r="B27" i="9"/>
  <c r="D27" i="9" s="1"/>
  <c r="B28" i="9"/>
  <c r="D28" i="9" s="1"/>
  <c r="B29" i="9"/>
  <c r="D29" i="9" s="1"/>
  <c r="B30" i="9"/>
  <c r="D30" i="9" s="1"/>
  <c r="B31" i="9"/>
  <c r="D31" i="9" s="1"/>
  <c r="B32" i="9"/>
  <c r="D32" i="9" s="1"/>
  <c r="B33" i="9"/>
  <c r="E33" i="9" s="1"/>
  <c r="B34" i="9"/>
  <c r="D34" i="9" s="1"/>
  <c r="B35" i="9"/>
  <c r="D35" i="9" s="1"/>
  <c r="B36" i="9"/>
  <c r="D36" i="9" s="1"/>
  <c r="B37" i="9"/>
  <c r="D37" i="9" s="1"/>
  <c r="B38" i="9"/>
  <c r="D38" i="9" s="1"/>
  <c r="B39" i="9"/>
  <c r="D39" i="9" s="1"/>
  <c r="B40" i="9"/>
  <c r="D40" i="9" s="1"/>
  <c r="J13" i="1"/>
  <c r="W39" i="1"/>
  <c r="V39" i="1"/>
  <c r="R39" i="1"/>
  <c r="N39" i="1"/>
  <c r="J39" i="1"/>
  <c r="F39" i="1"/>
  <c r="C34" i="12" l="1"/>
  <c r="C26" i="12"/>
  <c r="D34" i="12"/>
  <c r="D26" i="12"/>
  <c r="D35" i="12"/>
  <c r="C33" i="12"/>
  <c r="C25" i="12"/>
  <c r="D33" i="12"/>
  <c r="D25" i="12"/>
  <c r="D27" i="12"/>
  <c r="C40" i="12"/>
  <c r="C32" i="12"/>
  <c r="D40" i="12"/>
  <c r="D32" i="12"/>
  <c r="C35" i="12"/>
  <c r="C39" i="12"/>
  <c r="C31" i="12"/>
  <c r="D39" i="12"/>
  <c r="D31" i="12"/>
  <c r="C27" i="12"/>
  <c r="E38" i="12"/>
  <c r="C38" i="12"/>
  <c r="E30" i="12"/>
  <c r="C29" i="12"/>
  <c r="D29" i="12"/>
  <c r="C30" i="12"/>
  <c r="C37" i="12"/>
  <c r="D37" i="12"/>
  <c r="C36" i="12"/>
  <c r="C28" i="12"/>
  <c r="D36" i="12"/>
  <c r="D28" i="12"/>
  <c r="C33" i="9"/>
  <c r="C25" i="9"/>
  <c r="D33" i="9"/>
  <c r="D25" i="9"/>
  <c r="E32" i="9"/>
  <c r="E31" i="9"/>
  <c r="C40" i="9"/>
  <c r="C32" i="9"/>
  <c r="C38" i="9"/>
  <c r="C28" i="9"/>
  <c r="C39" i="9"/>
  <c r="C31" i="9"/>
  <c r="C30" i="9"/>
  <c r="C37" i="9"/>
  <c r="C29" i="9"/>
  <c r="C36" i="9"/>
  <c r="E35" i="9"/>
  <c r="C35" i="9"/>
  <c r="C27" i="9"/>
  <c r="C34" i="9"/>
  <c r="C26" i="9"/>
  <c r="F21" i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R75" i="1" s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R69" i="1" s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45" i="1" s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46" i="1" s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B23" i="6" l="1" a="1"/>
  <c r="B23" i="6" s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B5" i="6" l="1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B7" i="12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B19" i="12"/>
  <c r="E19" i="12" s="1"/>
  <c r="B12" i="12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B67" i="6"/>
  <c r="C68" i="6"/>
  <c r="B70" i="6"/>
  <c r="B47" i="9" s="1"/>
  <c r="M63" i="6"/>
  <c r="U69" i="6"/>
  <c r="X46" i="9" s="1"/>
  <c r="H59" i="6"/>
  <c r="L66" i="6"/>
  <c r="H60" i="6"/>
  <c r="I71" i="6"/>
  <c r="L48" i="9" s="1"/>
  <c r="C65" i="6"/>
  <c r="B71" i="6"/>
  <c r="B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E11" i="12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E12" i="12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E14" i="12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E7" i="12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D24" i="12"/>
  <c r="E24" i="12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B59" i="6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47" i="9"/>
  <c r="D47" i="9"/>
  <c r="C93" i="9"/>
  <c r="D93" i="9"/>
  <c r="C84" i="9"/>
  <c r="D84" i="9"/>
  <c r="C49" i="9"/>
  <c r="D49" i="9"/>
  <c r="C66" i="9"/>
  <c r="D66" i="9"/>
  <c r="C48" i="9"/>
  <c r="D48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46" i="9"/>
  <c r="D46" i="9"/>
  <c r="C57" i="9"/>
  <c r="D57" i="9"/>
  <c r="C94" i="9"/>
  <c r="D94" i="9"/>
  <c r="C50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D21" i="12" l="1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<sst xmlns="http://schemas.openxmlformats.org/spreadsheetml/2006/main" count="1091" uniqueCount="434">
  <si>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</si>
  <si>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</si>
  <si>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</si>
  <si>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</si>
  <si>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</si>
  <si>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</si>
  <si>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</si>
  <si>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</si>
  <si>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</si>
  <si>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</si>
  <si>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</si>
  <si>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</si>
  <si>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</si>
  <si>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</si>
  <si>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</si>
  <si>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</si>
  <si>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</si>
  <si>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</si>
  <si>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</si>
  <si>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</si>
  <si>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</si>
  <si>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</si>
  <si>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</si>
  <si>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</si>
  <si>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</si>
  <si>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</si>
  <si>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</si>
  <si>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</si>
  <si>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</si>
  <si>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</si>
  <si>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</si>
  <si>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</si>
  <si>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</si>
  <si>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</si>
  <si>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</si>
  <si>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</si>
  <si>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</si>
  <si>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</si>
  <si>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</si>
  <si>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</si>
  <si>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</si>
  <si>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</si>
  <si>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</si>
  <si>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</si>
  <si>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</si>
  <si>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</si>
  <si>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</si>
  <si>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</si>
  <si>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</si>
  <si>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</si>
  <si>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</si>
  <si>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</si>
  <si>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</si>
  <si>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</si>
  <si>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</si>
  <si>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</si>
  <si>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</si>
  <si>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</si>
  <si>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</si>
  <si>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</si>
  <si>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</si>
  <si>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</si>
  <si>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</si>
  <si>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</si>
  <si>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</si>
  <si>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</si>
  <si>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</si>
  <si>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</si>
  <si>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</si>
  <si>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</si>
  <si>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</si>
  <si>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</si>
  <si>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</si>
  <si>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</si>
  <si>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</si>
  <si>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</si>
  <si>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</si>
  <si>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</si>
  <si>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</si>
  <si>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</si>
  <si>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</si>
  <si>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</si>
  <si>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</si>
  <si>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</si>
  <si>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</si>
  <si>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</si>
  <si>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</si>
  <si>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</si>
  <si>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</si>
  <si>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</si>
  <si>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</si>
  <si>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</si>
  <si>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</si>
  <si>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</si>
  <si>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</si>
  <si>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</si>
  <si>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</si>
  <si>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</si>
  <si>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</si>
  <si>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</si>
  <si>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</si>
  <si>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</si>
  <si>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</si>
  <si>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</si>
  <si>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</si>
  <si>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</si>
  <si>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</si>
  <si>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</si>
  <si>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</si>
  <si>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</si>
  <si>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</si>
  <si>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</si>
  <si>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</si>
  <si>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</si>
  <si>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</si>
  <si>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</si>
  <si>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</si>
  <si>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</si>
  <si>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</si>
  <si>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</si>
  <si>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</si>
  <si>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</si>
  <si>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</si>
  <si>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</si>
  <si>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</si>
  <si>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</si>
  <si>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</si>
  <si>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</si>
  <si>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</si>
  <si>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</si>
  <si>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</si>
  <si>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</si>
  <si>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</si>
  <si>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</si>
  <si>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</si>
  <si>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</si>
  <si>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</si>
  <si>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</si>
  <si>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</si>
  <si>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</si>
  <si>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</si>
  <si>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</si>
  <si>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</si>
  <si>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</si>
  <si>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</si>
  <si>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</si>
  <si>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</si>
  <si>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</si>
  <si>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</si>
  <si>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</si>
  <si>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</si>
  <si>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</si>
  <si>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</si>
  <si>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</si>
  <si>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</si>
  <si>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</si>
  <si>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</si>
  <si>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</si>
  <si>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</si>
  <si>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</si>
  <si>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</si>
  <si>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</si>
  <si>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</si>
  <si>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</si>
  <si>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</si>
  <si>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</si>
  <si>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</si>
  <si>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</si>
  <si>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</si>
  <si>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</si>
  <si>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</si>
  <si>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</si>
  <si>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</si>
  <si>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</si>
  <si>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</si>
  <si>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</si>
  <si>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</si>
  <si>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</si>
  <si>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</si>
  <si>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</si>
  <si>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</si>
  <si>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</si>
  <si>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</si>
  <si>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</si>
  <si>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</si>
  <si>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</si>
  <si>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</si>
  <si>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</si>
  <si>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</si>
  <si>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</si>
  <si>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</si>
  <si>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</si>
  <si>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</si>
  <si>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</si>
  <si>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</si>
  <si>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</si>
  <si>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</si>
  <si>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</si>
  <si>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</si>
  <si>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</si>
  <si>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</si>
  <si>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</si>
  <si>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</si>
  <si>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</si>
  <si>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</si>
  <si>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</si>
  <si>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</si>
  <si>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</si>
  <si>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</si>
  <si>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</si>
  <si>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</si>
  <si>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</si>
  <si>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</si>
  <si>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</si>
  <si>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</si>
  <si>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</si>
  <si>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</si>
  <si>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</si>
  <si>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</si>
  <si>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</si>
  <si>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</si>
  <si>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</si>
  <si>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</si>
  <si>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</si>
  <si>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</si>
  <si>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</si>
  <si>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</si>
  <si>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</si>
  <si>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</si>
  <si>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</si>
  <si>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</si>
  <si>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</si>
  <si>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</si>
  <si>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</si>
  <si>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</si>
  <si>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</si>
  <si>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</si>
  <si>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</si>
  <si>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</si>
  <si>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</si>
  <si>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</si>
  <si>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</si>
  <si>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</si>
  <si>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</si>
  <si>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</si>
  <si>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</si>
  <si>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</si>
  <si>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</si>
  <si>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</si>
  <si>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</si>
  <si>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</si>
  <si>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</si>
  <si>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</si>
  <si>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</si>
  <si>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</si>
  <si>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</si>
  <si>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</si>
  <si>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</si>
  <si>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</si>
  <si>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</si>
  <si>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</si>
  <si>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</si>
  <si>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</si>
  <si>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</si>
  <si>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</si>
  <si>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</si>
  <si>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</si>
  <si>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</si>
  <si>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</si>
  <si>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</si>
  <si>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</si>
  <si>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</si>
  <si>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</si>
  <si>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</si>
  <si>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</si>
  <si>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</si>
  <si>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</si>
  <si>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</si>
  <si>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</si>
  <si>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</si>
  <si>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</si>
  <si>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</si>
  <si>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</si>
  <si>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</si>
  <si>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</si>
  <si>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</si>
  <si>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</si>
  <si>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</si>
  <si>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</si>
  <si>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</si>
  <si>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</si>
  <si>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</si>
  <si>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</si>
  <si>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</si>
  <si>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</si>
  <si>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</si>
  <si>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</si>
  <si>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</si>
  <si>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</si>
  <si>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</si>
  <si>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</si>
  <si>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</si>
  <si>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</si>
  <si>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</si>
  <si>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</si>
  <si>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</si>
  <si>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</si>
  <si>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</si>
  <si>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</si>
  <si>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</si>
  <si>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</si>
  <si>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</si>
  <si>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</si>
  <si>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</si>
  <si>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</si>
  <si>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</si>
  <si>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</si>
  <si>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</si>
  <si>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</si>
  <si>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</si>
  <si>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</si>
  <si>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</si>
  <si>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</si>
  <si>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</si>
  <si>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</si>
  <si>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</si>
  <si>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</si>
  <si>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</si>
  <si>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</si>
  <si>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</si>
  <si>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</si>
  <si>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</si>
  <si>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</si>
  <si>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</si>
  <si>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</si>
  <si>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</si>
  <si>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</si>
  <si>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</si>
  <si>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</si>
  <si>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</si>
  <si>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</si>
  <si>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</si>
  <si>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</si>
  <si>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</si>
  <si>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</si>
  <si>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</si>
  <si>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</si>
  <si>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</si>
  <si>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</si>
  <si>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</si>
  <si>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</si>
  <si>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</si>
  <si>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</si>
  <si>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</si>
  <si>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</si>
  <si>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</si>
  <si>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</si>
  <si>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</si>
  <si>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</si>
  <si>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</si>
  <si>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</si>
  <si>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</si>
  <si>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</si>
  <si>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</si>
  <si>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</si>
  <si>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</si>
  <si>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</si>
  <si>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</si>
  <si>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</si>
  <si>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</si>
  <si>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</si>
  <si>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</si>
  <si>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</si>
  <si>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</si>
  <si>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</si>
  <si>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</si>
  <si>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</si>
  <si>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</si>
  <si>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</si>
  <si>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</si>
  <si>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</si>
  <si>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</si>
  <si>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</si>
  <si>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</si>
  <si>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</si>
  <si>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</si>
  <si>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</si>
  <si>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</si>
  <si>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</si>
  <si>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</si>
  <si>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</si>
  <si>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</si>
  <si>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</si>
  <si>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</si>
  <si>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</si>
  <si>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</si>
  <si>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</si>
  <si>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</si>
  <si>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</si>
  <si>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</si>
  <si>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</si>
  <si>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</si>
  <si>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</si>
  <si>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</si>
  <si>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</si>
  <si>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</si>
  <si>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</si>
  <si>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</si>
  <si>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</si>
  <si>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</si>
  <si>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</si>
  <si>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</si>
  <si>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</si>
  <si>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</si>
  <si>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</si>
  <si>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</si>
  <si>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</si>
  <si>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</si>
  <si>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</si>
  <si>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</si>
  <si>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</si>
  <si>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</si>
  <si>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</si>
  <si>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</si>
  <si>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</si>
  <si>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10"</t>
  </si>
  <si>
    <t>mattebenny</t>
  </si>
  <si>
    <t>Benny89</t>
  </si>
  <si>
    <t>17th</t>
  </si>
  <si>
    <t>TLM_Ulix1990*</t>
  </si>
  <si>
    <t>Contatto con TLM_Parenti al 18° giro</t>
  </si>
  <si>
    <t>Gr.4</t>
  </si>
  <si>
    <t>Villab90</t>
  </si>
  <si>
    <t>TLM_Villab90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</si>
</sst>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15" borderId="0" xfId="0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5" borderId="0" xfId="0" applyFont="1" applyFill="1" applyBorder="1" applyAlignment="1">
      <alignment horizontal="center"/>
    </xf>
    <xf numFmtId="0" fontId="16" fillId="12" borderId="18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H38" sqref="H3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59" ht="22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59" ht="22" customHeight="1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59" ht="19" customHeight="1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22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26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18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18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26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2.0002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31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62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41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15.01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3.0009999999999999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1.01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13.000999999999999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428</v>
      </c>
      <c r="B21" s="43" t="s">
        <v>426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/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/>
      <c r="Q23" s="12"/>
      <c r="R23" s="39">
        <f>SUM(O23:Q23)</f>
        <v>0</v>
      </c>
      <c r="S23" s="12"/>
      <c r="T23" s="12"/>
      <c r="U23" s="12"/>
      <c r="V23" s="39">
        <f>SUM(S23:U23)</f>
        <v>0</v>
      </c>
      <c r="W23" s="24">
        <f>SUM(C23:E23,G23:I23,K23:M23,O23:Q23,S23:U23)</f>
        <v>1.0001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/>
      <c r="M24" s="20"/>
      <c r="N24" s="39">
        <f t="shared" ref="N24:N39" si="21">SUM(K24:M24)</f>
        <v>0</v>
      </c>
      <c r="O24" s="20"/>
      <c r="P24" s="20"/>
      <c r="Q24" s="20"/>
      <c r="R24" s="39">
        <f t="shared" ref="R24:R39" si="22">SUM(O24:Q24)</f>
        <v>0</v>
      </c>
      <c r="S24" s="20"/>
      <c r="T24" s="20"/>
      <c r="U24" s="20"/>
      <c r="V24" s="39">
        <f t="shared" ref="V24:V39" si="23">SUM(S24:U24)</f>
        <v>0</v>
      </c>
      <c r="W24" s="24">
        <f t="shared" ref="W24:W39" si="24">SUM(C24:E24,G24:I24,K24:M24,O24:Q24,S24:U24)</f>
        <v>24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/>
      <c r="M26" s="12"/>
      <c r="N26" s="39">
        <f t="shared" si="21"/>
        <v>0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4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/>
      <c r="M27" s="20"/>
      <c r="N27" s="39">
        <f t="shared" si="21"/>
        <v>0</v>
      </c>
      <c r="O27" s="40"/>
      <c r="P27" s="20"/>
      <c r="Q27" s="20"/>
      <c r="R27" s="39">
        <f t="shared" si="22"/>
        <v>0</v>
      </c>
      <c r="S27" s="40"/>
      <c r="T27" s="20"/>
      <c r="U27" s="20"/>
      <c r="V27" s="39">
        <f t="shared" si="23"/>
        <v>0</v>
      </c>
      <c r="W27" s="24">
        <f t="shared" si="24"/>
        <v>38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/>
      <c r="M29" s="12"/>
      <c r="N29" s="39">
        <f t="shared" si="21"/>
        <v>0</v>
      </c>
      <c r="O29" s="12"/>
      <c r="P29" s="12"/>
      <c r="Q29" s="12"/>
      <c r="R29" s="39">
        <f t="shared" si="22"/>
        <v>0</v>
      </c>
      <c r="S29" s="12"/>
      <c r="T29" s="12"/>
      <c r="U29" s="12"/>
      <c r="V29" s="39">
        <f t="shared" si="23"/>
        <v>0</v>
      </c>
      <c r="W29" s="24">
        <f t="shared" si="24"/>
        <v>25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/>
      <c r="M30" s="12"/>
      <c r="N30" s="39">
        <f t="shared" si="21"/>
        <v>0</v>
      </c>
      <c r="O30" s="12"/>
      <c r="P30" s="12"/>
      <c r="Q30" s="12"/>
      <c r="R30" s="39">
        <f t="shared" si="22"/>
        <v>0</v>
      </c>
      <c r="S30" s="12"/>
      <c r="T30" s="12"/>
      <c r="U30" s="12"/>
      <c r="V30" s="39">
        <f t="shared" si="23"/>
        <v>0</v>
      </c>
      <c r="W30" s="24">
        <f t="shared" si="24"/>
        <v>10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/>
      <c r="M32" s="12"/>
      <c r="N32" s="39">
        <f t="shared" si="21"/>
        <v>0</v>
      </c>
      <c r="O32" s="12"/>
      <c r="P32" s="12"/>
      <c r="Q32" s="12"/>
      <c r="R32" s="39">
        <f t="shared" si="22"/>
        <v>0</v>
      </c>
      <c r="S32" s="12"/>
      <c r="T32" s="12"/>
      <c r="U32" s="12"/>
      <c r="V32" s="39">
        <f t="shared" si="23"/>
        <v>0</v>
      </c>
      <c r="W32" s="24">
        <f t="shared" si="24"/>
        <v>16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/>
      <c r="M33" s="20"/>
      <c r="N33" s="39">
        <f t="shared" si="21"/>
        <v>0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20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/>
      <c r="M34" s="12"/>
      <c r="N34" s="39">
        <f t="shared" si="21"/>
        <v>0</v>
      </c>
      <c r="O34" s="12"/>
      <c r="P34" s="12"/>
      <c r="Q34" s="12"/>
      <c r="R34" s="39">
        <f t="shared" si="22"/>
        <v>0</v>
      </c>
      <c r="S34" s="12"/>
      <c r="T34" s="12"/>
      <c r="U34" s="12"/>
      <c r="V34" s="39">
        <f t="shared" si="23"/>
        <v>0</v>
      </c>
      <c r="W34" s="24">
        <f t="shared" si="24"/>
        <v>2.02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/>
      <c r="M36" s="20"/>
      <c r="N36" s="39">
        <f t="shared" si="34"/>
        <v>0</v>
      </c>
      <c r="O36" s="40"/>
      <c r="P36" s="20"/>
      <c r="Q36" s="20"/>
      <c r="R36" s="39">
        <f t="shared" si="35"/>
        <v>0</v>
      </c>
      <c r="S36" s="40"/>
      <c r="T36" s="20"/>
      <c r="U36" s="20"/>
      <c r="V36" s="39">
        <f t="shared" si="36"/>
        <v>0</v>
      </c>
      <c r="W36" s="24">
        <f t="shared" si="24"/>
        <v>4</v>
      </c>
      <c r="AE36" s="87"/>
    </row>
    <row r="37" spans="1:16354" ht="19" customHeight="1" x14ac:dyDescent="0.25">
      <c r="A37" s="5" t="s">
        <v>409</v>
      </c>
      <c r="B37" s="43" t="s">
        <v>62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/>
      <c r="M37" s="12"/>
      <c r="N37" s="39">
        <f t="shared" si="34"/>
        <v>0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34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/>
      <c r="P38" s="20"/>
      <c r="Q38" s="20"/>
      <c r="R38" s="39">
        <f t="shared" si="22"/>
        <v>0</v>
      </c>
      <c r="S38" s="20"/>
      <c r="T38" s="20"/>
      <c r="U38" s="20"/>
      <c r="V38" s="39">
        <f t="shared" si="23"/>
        <v>0</v>
      </c>
      <c r="W38" s="24">
        <f t="shared" si="24"/>
        <v>2.0011000000000001</v>
      </c>
    </row>
    <row r="39" spans="1:16354" ht="19" customHeight="1" x14ac:dyDescent="0.25">
      <c r="A39" s="5" t="s">
        <v>428</v>
      </c>
      <c r="B39" s="43" t="s">
        <v>426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/>
      <c r="L39" s="20"/>
      <c r="M39" s="20"/>
      <c r="N39" s="39">
        <f t="shared" si="21"/>
        <v>0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10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08" t="s">
        <v>38</v>
      </c>
      <c r="B42" s="109"/>
      <c r="C42" s="105" t="s">
        <v>411</v>
      </c>
      <c r="D42" s="106"/>
      <c r="E42" s="106"/>
      <c r="F42" s="107"/>
      <c r="G42" s="105" t="s">
        <v>412</v>
      </c>
      <c r="H42" s="106"/>
      <c r="I42" s="106"/>
      <c r="J42" s="107"/>
      <c r="K42" s="105" t="s">
        <v>413</v>
      </c>
      <c r="L42" s="106"/>
      <c r="M42" s="106"/>
      <c r="N42" s="107"/>
      <c r="O42" s="105" t="s">
        <v>414</v>
      </c>
      <c r="P42" s="106"/>
      <c r="Q42" s="106"/>
      <c r="R42" s="107"/>
      <c r="S42" s="105" t="s">
        <v>415</v>
      </c>
      <c r="T42" s="106"/>
      <c r="U42" s="106"/>
      <c r="V42" s="107"/>
      <c r="W42" s="104" t="s">
        <v>33</v>
      </c>
    </row>
    <row r="43" spans="1:16354" ht="27" x14ac:dyDescent="0.2">
      <c r="A43" s="110"/>
      <c r="B43" s="111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04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0</v>
      </c>
      <c r="M45" s="12">
        <f t="shared" si="39"/>
        <v>0</v>
      </c>
      <c r="N45" s="39">
        <f t="shared" si="39"/>
        <v>0</v>
      </c>
      <c r="O45" s="12">
        <f t="shared" si="39"/>
        <v>0</v>
      </c>
      <c r="P45" s="12">
        <f t="shared" si="39"/>
        <v>0</v>
      </c>
      <c r="Q45" s="12">
        <f t="shared" si="39"/>
        <v>0</v>
      </c>
      <c r="R45" s="39">
        <f t="shared" si="39"/>
        <v>0</v>
      </c>
      <c r="S45" s="12">
        <f t="shared" si="39"/>
        <v>0</v>
      </c>
      <c r="T45" s="12">
        <f t="shared" si="39"/>
        <v>0</v>
      </c>
      <c r="U45" s="12">
        <f t="shared" si="39"/>
        <v>0</v>
      </c>
      <c r="V45" s="39">
        <f t="shared" si="39"/>
        <v>0</v>
      </c>
      <c r="W45" s="24">
        <f t="shared" si="39"/>
        <v>22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0</v>
      </c>
      <c r="L46" s="12">
        <f t="shared" si="40"/>
        <v>0</v>
      </c>
      <c r="M46" s="12">
        <f t="shared" si="40"/>
        <v>0</v>
      </c>
      <c r="N46" s="39">
        <f t="shared" si="40"/>
        <v>0</v>
      </c>
      <c r="O46" s="12">
        <f t="shared" si="40"/>
        <v>0</v>
      </c>
      <c r="P46" s="12">
        <f t="shared" si="40"/>
        <v>0</v>
      </c>
      <c r="Q46" s="12">
        <f t="shared" si="40"/>
        <v>0</v>
      </c>
      <c r="R46" s="39">
        <f t="shared" si="40"/>
        <v>0</v>
      </c>
      <c r="S46" s="12">
        <f t="shared" si="40"/>
        <v>0</v>
      </c>
      <c r="T46" s="12">
        <f t="shared" si="40"/>
        <v>0</v>
      </c>
      <c r="U46" s="12">
        <f t="shared" si="40"/>
        <v>0</v>
      </c>
      <c r="V46" s="39">
        <f t="shared" si="40"/>
        <v>0</v>
      </c>
      <c r="W46" s="24">
        <f t="shared" si="40"/>
        <v>26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0</v>
      </c>
      <c r="M47" s="12">
        <f t="shared" si="41"/>
        <v>0</v>
      </c>
      <c r="N47" s="39">
        <f t="shared" si="41"/>
        <v>0</v>
      </c>
      <c r="O47" s="12">
        <f t="shared" si="41"/>
        <v>0</v>
      </c>
      <c r="P47" s="12">
        <f t="shared" si="41"/>
        <v>0</v>
      </c>
      <c r="Q47" s="12">
        <f t="shared" si="41"/>
        <v>0</v>
      </c>
      <c r="R47" s="39">
        <f t="shared" si="41"/>
        <v>0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18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0</v>
      </c>
      <c r="M48" s="12">
        <f t="shared" si="42"/>
        <v>0</v>
      </c>
      <c r="N48" s="39">
        <f t="shared" si="42"/>
        <v>0</v>
      </c>
      <c r="O48" s="12">
        <f t="shared" si="42"/>
        <v>0</v>
      </c>
      <c r="P48" s="12">
        <f t="shared" si="42"/>
        <v>0</v>
      </c>
      <c r="Q48" s="12">
        <f t="shared" si="42"/>
        <v>0</v>
      </c>
      <c r="R48" s="39">
        <f t="shared" si="42"/>
        <v>0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18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0</v>
      </c>
      <c r="M49" s="12">
        <f t="shared" si="43"/>
        <v>0</v>
      </c>
      <c r="N49" s="39">
        <f t="shared" si="43"/>
        <v>0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10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0</v>
      </c>
      <c r="Q50" s="12">
        <f t="shared" si="44"/>
        <v>0</v>
      </c>
      <c r="R50" s="39">
        <f t="shared" si="44"/>
        <v>0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26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0</v>
      </c>
      <c r="M52" s="12">
        <f t="shared" si="46"/>
        <v>0</v>
      </c>
      <c r="N52" s="39">
        <f t="shared" si="46"/>
        <v>0</v>
      </c>
      <c r="O52" s="12">
        <f t="shared" si="46"/>
        <v>0</v>
      </c>
      <c r="P52" s="12">
        <f t="shared" si="46"/>
        <v>0</v>
      </c>
      <c r="Q52" s="12">
        <f t="shared" si="46"/>
        <v>0</v>
      </c>
      <c r="R52" s="39">
        <f t="shared" si="46"/>
        <v>0</v>
      </c>
      <c r="S52" s="12">
        <f t="shared" si="46"/>
        <v>0</v>
      </c>
      <c r="T52" s="12">
        <f t="shared" si="46"/>
        <v>0</v>
      </c>
      <c r="U52" s="12">
        <f t="shared" si="46"/>
        <v>0</v>
      </c>
      <c r="V52" s="39">
        <f t="shared" si="46"/>
        <v>0</v>
      </c>
      <c r="W52" s="24">
        <f t="shared" si="46"/>
        <v>2.0002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0</v>
      </c>
      <c r="M53" s="12">
        <f t="shared" si="47"/>
        <v>0</v>
      </c>
      <c r="N53" s="39">
        <f t="shared" si="47"/>
        <v>0</v>
      </c>
      <c r="O53" s="12">
        <f t="shared" si="47"/>
        <v>0</v>
      </c>
      <c r="P53" s="12">
        <f t="shared" si="47"/>
        <v>0</v>
      </c>
      <c r="Q53" s="12">
        <f t="shared" si="47"/>
        <v>0</v>
      </c>
      <c r="R53" s="39">
        <f t="shared" si="47"/>
        <v>0</v>
      </c>
      <c r="S53" s="12">
        <f t="shared" si="47"/>
        <v>0</v>
      </c>
      <c r="T53" s="12">
        <f t="shared" si="47"/>
        <v>0</v>
      </c>
      <c r="U53" s="12">
        <f t="shared" si="47"/>
        <v>0</v>
      </c>
      <c r="V53" s="39">
        <f t="shared" si="47"/>
        <v>0</v>
      </c>
      <c r="W53" s="24">
        <f t="shared" si="47"/>
        <v>31</v>
      </c>
    </row>
    <row r="54" spans="1:23" ht="18" x14ac:dyDescent="0.25">
      <c r="A54" s="28">
        <v>11</v>
      </c>
      <c r="B54" s="43" t="str">
        <f t="shared" si="37"/>
        <v>TLM_SKIZZO 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0</v>
      </c>
      <c r="M54" s="12">
        <f t="shared" si="48"/>
        <v>0</v>
      </c>
      <c r="N54" s="39">
        <f t="shared" si="48"/>
        <v>0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0</v>
      </c>
      <c r="U54" s="12">
        <f t="shared" si="48"/>
        <v>0</v>
      </c>
      <c r="V54" s="39">
        <f t="shared" si="48"/>
        <v>0</v>
      </c>
      <c r="W54" s="24">
        <f t="shared" si="48"/>
        <v>41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0</v>
      </c>
      <c r="M55" s="12">
        <f t="shared" si="49"/>
        <v>0</v>
      </c>
      <c r="N55" s="39">
        <f t="shared" si="49"/>
        <v>0</v>
      </c>
      <c r="O55" s="12">
        <f t="shared" si="49"/>
        <v>0</v>
      </c>
      <c r="P55" s="12">
        <f t="shared" si="49"/>
        <v>0</v>
      </c>
      <c r="Q55" s="12">
        <f t="shared" si="49"/>
        <v>0</v>
      </c>
      <c r="R55" s="39">
        <f t="shared" si="49"/>
        <v>0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15.01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0</v>
      </c>
      <c r="M57" s="12">
        <f t="shared" si="51"/>
        <v>0</v>
      </c>
      <c r="N57" s="39">
        <f t="shared" si="51"/>
        <v>0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0</v>
      </c>
      <c r="U57" s="12">
        <f t="shared" si="51"/>
        <v>0</v>
      </c>
      <c r="V57" s="39">
        <f t="shared" si="51"/>
        <v>0</v>
      </c>
      <c r="W57" s="24">
        <f t="shared" si="51"/>
        <v>3.0009999999999999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0</v>
      </c>
      <c r="M58" s="12">
        <f t="shared" si="52"/>
        <v>0</v>
      </c>
      <c r="N58" s="39">
        <f t="shared" si="52"/>
        <v>0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1.01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0</v>
      </c>
      <c r="M59" s="12">
        <f t="shared" si="54"/>
        <v>0</v>
      </c>
      <c r="N59" s="39">
        <f t="shared" si="54"/>
        <v>0</v>
      </c>
      <c r="O59" s="12">
        <f t="shared" si="54"/>
        <v>0</v>
      </c>
      <c r="P59" s="12">
        <f t="shared" si="54"/>
        <v>0</v>
      </c>
      <c r="Q59" s="12">
        <f t="shared" si="54"/>
        <v>0</v>
      </c>
      <c r="R59" s="39">
        <f t="shared" si="54"/>
        <v>0</v>
      </c>
      <c r="S59" s="12">
        <f t="shared" si="54"/>
        <v>0</v>
      </c>
      <c r="T59" s="12">
        <f t="shared" si="54"/>
        <v>0</v>
      </c>
      <c r="U59" s="12">
        <f t="shared" si="54"/>
        <v>0</v>
      </c>
      <c r="V59" s="39">
        <f t="shared" si="54"/>
        <v>0</v>
      </c>
      <c r="W59" s="24">
        <f t="shared" si="54"/>
        <v>13.000999999999999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0</v>
      </c>
      <c r="Q60" s="12">
        <f t="shared" si="55"/>
        <v>0</v>
      </c>
      <c r="R60" s="39">
        <f t="shared" si="55"/>
        <v>0</v>
      </c>
      <c r="S60" s="12">
        <f t="shared" si="55"/>
        <v>0</v>
      </c>
      <c r="T60" s="12">
        <f t="shared" si="55"/>
        <v>0</v>
      </c>
      <c r="U60" s="12">
        <f t="shared" si="55"/>
        <v>0</v>
      </c>
      <c r="V60" s="39">
        <f t="shared" si="55"/>
        <v>0</v>
      </c>
      <c r="W60" s="24">
        <f t="shared" si="55"/>
        <v>1.0001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0</v>
      </c>
      <c r="M61" s="12">
        <f t="shared" si="57"/>
        <v>0</v>
      </c>
      <c r="N61" s="39">
        <f t="shared" si="57"/>
        <v>0</v>
      </c>
      <c r="O61" s="12">
        <f t="shared" si="57"/>
        <v>0</v>
      </c>
      <c r="P61" s="12">
        <f t="shared" si="57"/>
        <v>0</v>
      </c>
      <c r="Q61" s="12">
        <f t="shared" si="57"/>
        <v>0</v>
      </c>
      <c r="R61" s="39">
        <f t="shared" si="57"/>
        <v>0</v>
      </c>
      <c r="S61" s="12">
        <f t="shared" si="57"/>
        <v>0</v>
      </c>
      <c r="T61" s="12">
        <f t="shared" si="57"/>
        <v>0</v>
      </c>
      <c r="U61" s="12">
        <f t="shared" si="57"/>
        <v>0</v>
      </c>
      <c r="V61" s="39">
        <f t="shared" si="57"/>
        <v>0</v>
      </c>
      <c r="W61" s="24">
        <f t="shared" si="57"/>
        <v>24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0</v>
      </c>
      <c r="M63" s="12">
        <f t="shared" si="59"/>
        <v>0</v>
      </c>
      <c r="N63" s="39">
        <f t="shared" si="59"/>
        <v>0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4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0</v>
      </c>
      <c r="M64" s="12">
        <f t="shared" si="60"/>
        <v>0</v>
      </c>
      <c r="N64" s="39">
        <f t="shared" si="60"/>
        <v>0</v>
      </c>
      <c r="O64" s="12">
        <f t="shared" si="60"/>
        <v>0</v>
      </c>
      <c r="P64" s="12">
        <f t="shared" si="60"/>
        <v>0</v>
      </c>
      <c r="Q64" s="12">
        <f t="shared" si="60"/>
        <v>0</v>
      </c>
      <c r="R64" s="39">
        <f t="shared" si="60"/>
        <v>0</v>
      </c>
      <c r="S64" s="12">
        <f t="shared" si="60"/>
        <v>0</v>
      </c>
      <c r="T64" s="12">
        <f t="shared" si="60"/>
        <v>0</v>
      </c>
      <c r="U64" s="12">
        <f t="shared" si="60"/>
        <v>0</v>
      </c>
      <c r="V64" s="39">
        <f t="shared" si="60"/>
        <v>0</v>
      </c>
      <c r="W64" s="24">
        <f t="shared" si="60"/>
        <v>38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0</v>
      </c>
      <c r="M66" s="12">
        <f t="shared" si="62"/>
        <v>0</v>
      </c>
      <c r="N66" s="39">
        <f t="shared" si="62"/>
        <v>0</v>
      </c>
      <c r="O66" s="12">
        <f t="shared" si="62"/>
        <v>0</v>
      </c>
      <c r="P66" s="12">
        <f t="shared" si="62"/>
        <v>0</v>
      </c>
      <c r="Q66" s="12">
        <f t="shared" si="62"/>
        <v>0</v>
      </c>
      <c r="R66" s="39">
        <f t="shared" si="62"/>
        <v>0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25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0</v>
      </c>
      <c r="M67" s="12">
        <f t="shared" si="63"/>
        <v>0</v>
      </c>
      <c r="N67" s="39">
        <f t="shared" si="63"/>
        <v>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0</v>
      </c>
      <c r="U67" s="12">
        <f t="shared" si="63"/>
        <v>0</v>
      </c>
      <c r="V67" s="39">
        <f t="shared" si="63"/>
        <v>0</v>
      </c>
      <c r="W67" s="24">
        <f t="shared" si="63"/>
        <v>10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0</v>
      </c>
      <c r="M69" s="12">
        <f t="shared" si="65"/>
        <v>0</v>
      </c>
      <c r="N69" s="39">
        <f t="shared" si="65"/>
        <v>0</v>
      </c>
      <c r="O69" s="12">
        <f t="shared" si="65"/>
        <v>0</v>
      </c>
      <c r="P69" s="12">
        <f t="shared" si="65"/>
        <v>0</v>
      </c>
      <c r="Q69" s="12">
        <f t="shared" si="65"/>
        <v>0</v>
      </c>
      <c r="R69" s="39">
        <f t="shared" si="65"/>
        <v>0</v>
      </c>
      <c r="S69" s="12">
        <f t="shared" si="65"/>
        <v>0</v>
      </c>
      <c r="T69" s="12">
        <f t="shared" si="65"/>
        <v>0</v>
      </c>
      <c r="U69" s="12">
        <f t="shared" si="65"/>
        <v>0</v>
      </c>
      <c r="V69" s="39">
        <f t="shared" si="65"/>
        <v>0</v>
      </c>
      <c r="W69" s="24">
        <f t="shared" si="65"/>
        <v>16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0</v>
      </c>
      <c r="M70" s="12">
        <f t="shared" si="66"/>
        <v>0</v>
      </c>
      <c r="N70" s="39">
        <f t="shared" si="66"/>
        <v>0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20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0</v>
      </c>
      <c r="M71" s="12">
        <f t="shared" si="67"/>
        <v>0</v>
      </c>
      <c r="N71" s="39">
        <f t="shared" si="67"/>
        <v>0</v>
      </c>
      <c r="O71" s="12">
        <f t="shared" si="67"/>
        <v>0</v>
      </c>
      <c r="P71" s="12">
        <f t="shared" si="67"/>
        <v>0</v>
      </c>
      <c r="Q71" s="12">
        <f t="shared" si="67"/>
        <v>0</v>
      </c>
      <c r="R71" s="39">
        <f t="shared" si="67"/>
        <v>0</v>
      </c>
      <c r="S71" s="12">
        <f t="shared" si="67"/>
        <v>0</v>
      </c>
      <c r="T71" s="12">
        <f t="shared" si="67"/>
        <v>0</v>
      </c>
      <c r="U71" s="12">
        <f t="shared" si="67"/>
        <v>0</v>
      </c>
      <c r="V71" s="39">
        <f t="shared" si="67"/>
        <v>0</v>
      </c>
      <c r="W71" s="24">
        <f t="shared" si="67"/>
        <v>2.02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0</v>
      </c>
      <c r="M73" s="12">
        <f t="shared" si="69"/>
        <v>0</v>
      </c>
      <c r="N73" s="39">
        <f t="shared" si="69"/>
        <v>0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0</v>
      </c>
      <c r="U73" s="12">
        <f t="shared" si="69"/>
        <v>0</v>
      </c>
      <c r="V73" s="39">
        <f t="shared" si="69"/>
        <v>0</v>
      </c>
      <c r="W73" s="24">
        <f t="shared" si="69"/>
        <v>4</v>
      </c>
    </row>
    <row r="74" spans="1:23" ht="18" x14ac:dyDescent="0.25">
      <c r="A74" s="28">
        <v>31</v>
      </c>
      <c r="B74" s="43" t="str">
        <f t="shared" si="56"/>
        <v>TLM_SKIZZO 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0</v>
      </c>
      <c r="M74" s="12">
        <f t="shared" si="70"/>
        <v>0</v>
      </c>
      <c r="N74" s="39">
        <f t="shared" si="70"/>
        <v>0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34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0</v>
      </c>
      <c r="P75" s="12">
        <f t="shared" si="71"/>
        <v>0</v>
      </c>
      <c r="Q75" s="12">
        <f t="shared" si="71"/>
        <v>0</v>
      </c>
      <c r="R75" s="39">
        <f t="shared" si="71"/>
        <v>0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2.0011000000000001</v>
      </c>
    </row>
  </sheetData>
  <mergeCells count="18">
    <mergeCell ref="W42:W43"/>
    <mergeCell ref="A42:B43"/>
    <mergeCell ref="O42:R42"/>
    <mergeCell ref="S42:V42"/>
    <mergeCell ref="C42:F42"/>
    <mergeCell ref="G42:J42"/>
    <mergeCell ref="K42:N42"/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B33" sqref="B33:C33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62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429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426</v>
      </c>
      <c r="C68" t="s">
        <v>427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A69">
        <v>68</v>
      </c>
      <c r="B69" t="s">
        <v>432</v>
      </c>
      <c r="C69" t="s">
        <v>433</v>
      </c>
      <c r="D69" t="s">
        <v>87</v>
      </c>
      <c r="G69" t="s">
        <v>114</v>
      </c>
      <c r="H69" t="s">
        <v>422</v>
      </c>
      <c r="I69">
        <v>90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3" ht="16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23" ht="27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23" ht="19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TLM_SKIZZO 34</v>
      </c>
      <c r="C5" s="12" t="str">
        <v/>
      </c>
      <c r="D5" s="12">
        <v>20</v>
      </c>
      <c r="E5" s="12">
        <v>1</v>
      </c>
      <c r="F5" s="39">
        <v>21</v>
      </c>
      <c r="G5" s="12" t="str">
        <v/>
      </c>
      <c r="H5" s="12">
        <v>20</v>
      </c>
      <c r="I5" s="12" t="str">
        <v/>
      </c>
      <c r="J5" s="39">
        <v>20</v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41</v>
      </c>
    </row>
    <row r="6" spans="1:23" ht="18" x14ac:dyDescent="0.25">
      <c r="A6" s="26" t="s">
        <v>3</v>
      </c>
      <c r="B6" s="43" t="str">
        <v>selpa974</v>
      </c>
      <c r="C6" s="20" t="str">
        <v/>
      </c>
      <c r="D6" s="20">
        <v>16</v>
      </c>
      <c r="E6" s="20" t="str">
        <v/>
      </c>
      <c r="F6" s="39">
        <v>16</v>
      </c>
      <c r="G6" s="20" t="str">
        <v/>
      </c>
      <c r="H6" s="20">
        <v>14</v>
      </c>
      <c r="I6" s="20">
        <v>1</v>
      </c>
      <c r="J6" s="39">
        <v>15</v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31</v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>
        <v>1</v>
      </c>
      <c r="H7" s="12">
        <v>25</v>
      </c>
      <c r="I7" s="12" t="str">
        <v/>
      </c>
      <c r="J7" s="39">
        <v>26</v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26</v>
      </c>
    </row>
    <row r="8" spans="1:23" ht="18" x14ac:dyDescent="0.25">
      <c r="A8" s="28" t="s">
        <v>5</v>
      </c>
      <c r="B8" s="43" t="str">
        <v>Patanel86</v>
      </c>
      <c r="C8" s="12">
        <v>1</v>
      </c>
      <c r="D8" s="12">
        <v>25</v>
      </c>
      <c r="E8" s="12" t="str">
        <v/>
      </c>
      <c r="F8" s="39">
        <v>26</v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26</v>
      </c>
    </row>
    <row r="9" spans="1:23" ht="18" x14ac:dyDescent="0.25">
      <c r="A9" s="28" t="s">
        <v>6</v>
      </c>
      <c r="B9" s="43" t="str">
        <v>Rupetheking</v>
      </c>
      <c r="C9" s="40" t="str">
        <v/>
      </c>
      <c r="D9" s="20">
        <v>18</v>
      </c>
      <c r="E9" s="20" t="str">
        <v/>
      </c>
      <c r="F9" s="39">
        <v>18</v>
      </c>
      <c r="G9" s="40" t="str">
        <v/>
      </c>
      <c r="H9" s="20">
        <v>4</v>
      </c>
      <c r="I9" s="20" t="str">
        <v/>
      </c>
      <c r="J9" s="39">
        <v>4</v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22</v>
      </c>
    </row>
    <row r="10" spans="1:23" ht="18" x14ac:dyDescent="0.25">
      <c r="A10" s="28" t="s">
        <v>7</v>
      </c>
      <c r="B10" s="43" t="str">
        <v>Bobgre93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>
        <v>18</v>
      </c>
      <c r="I10" s="12" t="str">
        <v/>
      </c>
      <c r="J10" s="39">
        <v>18</v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18</v>
      </c>
    </row>
    <row r="11" spans="1:23" ht="18" x14ac:dyDescent="0.25">
      <c r="A11" s="29" t="s">
        <v>8</v>
      </c>
      <c r="B11" s="43" t="str">
        <v>xRUA85x</v>
      </c>
      <c r="C11" s="12" t="str">
        <v/>
      </c>
      <c r="D11" s="12">
        <v>12</v>
      </c>
      <c r="E11" s="12" t="str">
        <v/>
      </c>
      <c r="F11" s="39">
        <v>12</v>
      </c>
      <c r="G11" s="12" t="str">
        <v/>
      </c>
      <c r="H11" s="12">
        <v>6</v>
      </c>
      <c r="I11" s="12" t="str">
        <v/>
      </c>
      <c r="J11" s="39">
        <v>6</v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18</v>
      </c>
    </row>
    <row r="12" spans="1:23" ht="18" x14ac:dyDescent="0.25">
      <c r="A12" s="29" t="s">
        <v>9</v>
      </c>
      <c r="B12" s="43" t="str">
        <v>mattebenny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16</v>
      </c>
      <c r="I12" s="12" t="str">
        <v/>
      </c>
      <c r="J12" s="39">
        <v>16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16</v>
      </c>
    </row>
    <row r="13" spans="1:23" ht="18" x14ac:dyDescent="0.25">
      <c r="A13" s="28" t="s">
        <v>10</v>
      </c>
      <c r="B13" s="43" t="str">
        <v>Silentium884</v>
      </c>
      <c r="C13" s="12" t="str">
        <v/>
      </c>
      <c r="D13" s="12">
        <v>14</v>
      </c>
      <c r="E13" s="12" t="str">
        <v/>
      </c>
      <c r="F13" s="39">
        <v>14</v>
      </c>
      <c r="G13" s="12" t="str">
        <v/>
      </c>
      <c r="H13" s="12">
        <v>1.01</v>
      </c>
      <c r="I13" s="12" t="str">
        <v/>
      </c>
      <c r="J13" s="39">
        <v>1.01</v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15.01</v>
      </c>
    </row>
    <row r="14" spans="1:23" ht="18" x14ac:dyDescent="0.25">
      <c r="A14" s="28" t="s">
        <v>11</v>
      </c>
      <c r="B14" s="43" t="str">
        <v>Liotru1979</v>
      </c>
      <c r="C14" s="12" t="str">
        <v/>
      </c>
      <c r="D14" s="12">
        <v>1.0009999999999999</v>
      </c>
      <c r="E14" s="12" t="str">
        <v/>
      </c>
      <c r="F14" s="39">
        <v>1.0009999999999999</v>
      </c>
      <c r="G14" s="12" t="str">
        <v/>
      </c>
      <c r="H14" s="12">
        <v>12</v>
      </c>
      <c r="I14" s="12" t="str">
        <v/>
      </c>
      <c r="J14" s="39">
        <v>12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13.000999999999999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10</v>
      </c>
    </row>
    <row r="16" spans="1:23" ht="18" x14ac:dyDescent="0.25">
      <c r="A16" s="28" t="s">
        <v>13</v>
      </c>
      <c r="B16" s="43" t="str">
        <v>Ulix1990</v>
      </c>
      <c r="C16" s="12" t="str">
        <v/>
      </c>
      <c r="D16" s="12">
        <v>10</v>
      </c>
      <c r="E16" s="12" t="str">
        <v/>
      </c>
      <c r="F16" s="39">
        <v>10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10</v>
      </c>
    </row>
    <row r="17" spans="1:23" ht="18" x14ac:dyDescent="0.25">
      <c r="A17" s="29" t="s">
        <v>20</v>
      </c>
      <c r="B17" s="43" t="str">
        <v>TLM_wid83</v>
      </c>
      <c r="C17" s="12" t="str">
        <v/>
      </c>
      <c r="D17" s="12">
        <v>6</v>
      </c>
      <c r="E17" s="12" t="str">
        <v/>
      </c>
      <c r="F17" s="39">
        <v>6</v>
      </c>
      <c r="G17" s="12" t="str">
        <v/>
      </c>
      <c r="H17" s="12">
        <v>2</v>
      </c>
      <c r="I17" s="12" t="str">
        <v/>
      </c>
      <c r="J17" s="39">
        <v>2</v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8</v>
      </c>
    </row>
    <row r="18" spans="1:23" ht="18" x14ac:dyDescent="0.25">
      <c r="A18" s="29" t="s">
        <v>21</v>
      </c>
      <c r="B18" s="43" t="str">
        <v>TLM_Kappa</v>
      </c>
      <c r="C18" s="12" t="str">
        <v/>
      </c>
      <c r="D18" s="12">
        <v>4</v>
      </c>
      <c r="E18" s="12" t="str">
        <v/>
      </c>
      <c r="F18" s="39">
        <v>4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4</v>
      </c>
    </row>
    <row r="19" spans="1:23" ht="18" x14ac:dyDescent="0.25">
      <c r="A19" s="29" t="s">
        <v>409</v>
      </c>
      <c r="B19" s="43" t="str">
        <v>Isnotacrime</v>
      </c>
      <c r="C19" s="20" t="str">
        <v/>
      </c>
      <c r="D19" s="20">
        <v>2</v>
      </c>
      <c r="E19" s="20" t="str">
        <v/>
      </c>
      <c r="F19" s="39">
        <v>2</v>
      </c>
      <c r="G19" s="20" t="str">
        <v/>
      </c>
      <c r="H19" s="20">
        <v>1.0009999999999999</v>
      </c>
      <c r="I19" s="20" t="str">
        <v/>
      </c>
      <c r="J19" s="39">
        <v>1.0009999999999999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3.0009999999999999</v>
      </c>
    </row>
    <row r="20" spans="1:23" ht="18" x14ac:dyDescent="0.25">
      <c r="A20" s="30" t="s">
        <v>410</v>
      </c>
      <c r="B20" s="93" t="str">
        <v>Verce90</v>
      </c>
      <c r="C20" s="94" t="str">
        <v/>
      </c>
      <c r="D20" s="94">
        <v>1.0001</v>
      </c>
      <c r="E20" s="94" t="str">
        <v/>
      </c>
      <c r="F20" s="95">
        <v>1.0001</v>
      </c>
      <c r="G20" s="94" t="str">
        <v/>
      </c>
      <c r="H20" s="94">
        <v>1.0001</v>
      </c>
      <c r="I20" s="94" t="str">
        <v/>
      </c>
      <c r="J20" s="95">
        <v>1.0001</v>
      </c>
      <c r="K20" s="94" t="str">
        <v/>
      </c>
      <c r="L20" s="94" t="str">
        <v/>
      </c>
      <c r="M20" s="94" t="str">
        <v/>
      </c>
      <c r="N20" s="95" t="str">
        <v/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2.0002</v>
      </c>
    </row>
    <row r="21" spans="1:23" ht="18" x14ac:dyDescent="0.25">
      <c r="A21" s="5" t="s">
        <v>428</v>
      </c>
      <c r="B21" s="43" t="str">
        <v>Asseemazz</v>
      </c>
      <c r="C21" s="20" t="str">
        <v/>
      </c>
      <c r="D21" s="20">
        <v>1.01</v>
      </c>
      <c r="E21" s="20" t="str">
        <v/>
      </c>
      <c r="F21" s="39">
        <v>1.01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1.01</v>
      </c>
    </row>
    <row r="22" spans="1:23" ht="19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Parenji</v>
      </c>
      <c r="C23" s="12">
        <v>1</v>
      </c>
      <c r="D23" s="12">
        <v>20</v>
      </c>
      <c r="E23" s="12">
        <v>1</v>
      </c>
      <c r="F23" s="39">
        <v>22</v>
      </c>
      <c r="G23" s="12">
        <v>1</v>
      </c>
      <c r="H23" s="12">
        <v>20</v>
      </c>
      <c r="I23" s="12" t="str">
        <v/>
      </c>
      <c r="J23" s="39">
        <v>21</v>
      </c>
      <c r="K23" s="12" t="str">
        <v/>
      </c>
      <c r="L23" s="12" t="str">
        <v/>
      </c>
      <c r="M23" s="12" t="str">
        <v/>
      </c>
      <c r="N23" s="39" t="str">
        <v/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43</v>
      </c>
    </row>
    <row r="24" spans="1:23" ht="18" x14ac:dyDescent="0.25">
      <c r="A24" s="26" t="s">
        <v>3</v>
      </c>
      <c r="B24" s="43" t="str">
        <v>Rupetheking</v>
      </c>
      <c r="C24" s="20" t="str">
        <v/>
      </c>
      <c r="D24" s="20">
        <v>25</v>
      </c>
      <c r="E24" s="20" t="str">
        <v/>
      </c>
      <c r="F24" s="39">
        <v>25</v>
      </c>
      <c r="G24" s="20" t="str">
        <v/>
      </c>
      <c r="H24" s="20">
        <v>12</v>
      </c>
      <c r="I24" s="20">
        <v>1</v>
      </c>
      <c r="J24" s="39">
        <v>13</v>
      </c>
      <c r="K24" s="20" t="str">
        <v/>
      </c>
      <c r="L24" s="20" t="str">
        <v/>
      </c>
      <c r="M24" s="20" t="str">
        <v/>
      </c>
      <c r="N24" s="39" t="str">
        <v/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38</v>
      </c>
    </row>
    <row r="25" spans="1:23" ht="18" x14ac:dyDescent="0.25">
      <c r="A25" s="27" t="s">
        <v>4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andvea_99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25</v>
      </c>
      <c r="I26" s="12" t="str">
        <v/>
      </c>
      <c r="J26" s="39">
        <v>25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25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 t="str">
        <v/>
      </c>
      <c r="M27" s="20" t="str">
        <v/>
      </c>
      <c r="N27" s="39" t="str">
        <v/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24</v>
      </c>
    </row>
    <row r="28" spans="1:23" ht="18" x14ac:dyDescent="0.25">
      <c r="A28" s="28" t="s">
        <v>7</v>
      </c>
      <c r="B28" s="43" t="str">
        <v>TLM_dimaa66</v>
      </c>
      <c r="C28" s="12" t="str">
        <v/>
      </c>
      <c r="D28" s="12">
        <v>14</v>
      </c>
      <c r="E28" s="12" t="str">
        <v/>
      </c>
      <c r="F28" s="39">
        <v>14</v>
      </c>
      <c r="G28" s="12" t="str">
        <v/>
      </c>
      <c r="H28" s="12">
        <v>6</v>
      </c>
      <c r="I28" s="12" t="str">
        <v/>
      </c>
      <c r="J28" s="39">
        <v>6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20</v>
      </c>
    </row>
    <row r="29" spans="1:23" ht="18" x14ac:dyDescent="0.25">
      <c r="A29" s="29" t="s">
        <v>8</v>
      </c>
      <c r="B29" s="43" t="str">
        <v>Ulix1990</v>
      </c>
      <c r="C29" s="12" t="str">
        <v/>
      </c>
      <c r="D29" s="12">
        <v>18</v>
      </c>
      <c r="E29" s="12" t="str">
        <v/>
      </c>
      <c r="F29" s="39">
        <v>18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18</v>
      </c>
    </row>
    <row r="30" spans="1:23" ht="18" x14ac:dyDescent="0.25">
      <c r="A30" s="29" t="s">
        <v>9</v>
      </c>
      <c r="B30" s="43" t="str">
        <v>Tonyroto74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>
        <v>16</v>
      </c>
      <c r="I30" s="12" t="str">
        <v/>
      </c>
      <c r="J30" s="39">
        <v>16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16</v>
      </c>
    </row>
    <row r="31" spans="1:23" ht="18" x14ac:dyDescent="0.25">
      <c r="A31" s="28" t="s">
        <v>10</v>
      </c>
      <c r="B31" s="43" t="str">
        <v>TLM_michaelFox12</v>
      </c>
      <c r="C31" s="12" t="str">
        <v/>
      </c>
      <c r="D31" s="12">
        <v>12</v>
      </c>
      <c r="E31" s="12" t="str">
        <v/>
      </c>
      <c r="F31" s="39">
        <v>12</v>
      </c>
      <c r="G31" s="12" t="str">
        <v/>
      </c>
      <c r="H31" s="12">
        <v>1.0009999999999999</v>
      </c>
      <c r="I31" s="12" t="str">
        <v/>
      </c>
      <c r="J31" s="39">
        <v>1.0009999999999999</v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13.000999999999999</v>
      </c>
    </row>
    <row r="32" spans="1:23" ht="18" x14ac:dyDescent="0.25">
      <c r="A32" s="28" t="s">
        <v>11</v>
      </c>
      <c r="B32" s="43" t="str">
        <v>Febshy</v>
      </c>
      <c r="C32" s="12" t="str">
        <v/>
      </c>
      <c r="D32" s="12">
        <v>6</v>
      </c>
      <c r="E32" s="12" t="str">
        <v/>
      </c>
      <c r="F32" s="39">
        <v>6</v>
      </c>
      <c r="G32" s="12" t="str">
        <v/>
      </c>
      <c r="H32" s="12">
        <v>4</v>
      </c>
      <c r="I32" s="12" t="str">
        <v/>
      </c>
      <c r="J32" s="39">
        <v>4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10</v>
      </c>
    </row>
    <row r="33" spans="1:23" ht="18" x14ac:dyDescent="0.25">
      <c r="A33" s="28" t="s">
        <v>12</v>
      </c>
      <c r="B33" s="43" t="str">
        <v>mattebenny</v>
      </c>
      <c r="C33" s="40" t="str">
        <v/>
      </c>
      <c r="D33" s="20" t="str">
        <v/>
      </c>
      <c r="E33" s="20" t="str">
        <v/>
      </c>
      <c r="F33" s="39" t="str">
        <v/>
      </c>
      <c r="G33" s="40" t="str">
        <v/>
      </c>
      <c r="H33" s="20">
        <v>10</v>
      </c>
      <c r="I33" s="20" t="str">
        <v/>
      </c>
      <c r="J33" s="39">
        <v>10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10</v>
      </c>
    </row>
    <row r="34" spans="1:23" ht="18" x14ac:dyDescent="0.25">
      <c r="A34" s="28" t="s">
        <v>13</v>
      </c>
      <c r="B34" s="43" t="str">
        <v>Asseemazz</v>
      </c>
      <c r="C34" s="12" t="str">
        <v/>
      </c>
      <c r="D34" s="12">
        <v>4</v>
      </c>
      <c r="E34" s="12" t="str">
        <v/>
      </c>
      <c r="F34" s="39">
        <v>4</v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4</v>
      </c>
    </row>
    <row r="35" spans="1:23" ht="18" x14ac:dyDescent="0.25">
      <c r="A35" s="29" t="s">
        <v>20</v>
      </c>
      <c r="B35" s="43" t="str">
        <v>CTR_ocior-78</v>
      </c>
      <c r="C35" s="12" t="str">
        <v/>
      </c>
      <c r="D35" s="12">
        <v>2</v>
      </c>
      <c r="E35" s="12" t="str">
        <v/>
      </c>
      <c r="F35" s="39">
        <v>2</v>
      </c>
      <c r="G35" s="12" t="str">
        <v/>
      </c>
      <c r="H35" s="12">
        <v>2</v>
      </c>
      <c r="I35" s="12" t="str">
        <v/>
      </c>
      <c r="J35" s="39">
        <v>2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4</v>
      </c>
    </row>
    <row r="36" spans="1:23" ht="18" x14ac:dyDescent="0.25">
      <c r="A36" s="29" t="s">
        <v>21</v>
      </c>
      <c r="B36" s="43" t="str">
        <v>Verce90</v>
      </c>
      <c r="C36" s="12" t="str">
        <v/>
      </c>
      <c r="D36" s="12">
        <v>1.01</v>
      </c>
      <c r="E36" s="12" t="str">
        <v/>
      </c>
      <c r="F36" s="39">
        <v>1.01</v>
      </c>
      <c r="G36" s="40" t="str">
        <v/>
      </c>
      <c r="H36" s="20">
        <v>1.01</v>
      </c>
      <c r="I36" s="20" t="str">
        <v/>
      </c>
      <c r="J36" s="39">
        <v>1.01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2.02</v>
      </c>
    </row>
    <row r="37" spans="1:23" ht="18" x14ac:dyDescent="0.25">
      <c r="A37" s="29" t="s">
        <v>409</v>
      </c>
      <c r="B37" s="43" t="str">
        <v>Mikedb__91__</v>
      </c>
      <c r="C37" s="20" t="str">
        <v/>
      </c>
      <c r="D37" s="20">
        <v>1.0009999999999999</v>
      </c>
      <c r="E37" s="20" t="str">
        <v/>
      </c>
      <c r="F37" s="39">
        <v>1.0009999999999999</v>
      </c>
      <c r="G37" s="12" t="str">
        <v/>
      </c>
      <c r="H37" s="12">
        <v>1.0001</v>
      </c>
      <c r="I37" s="12" t="str">
        <v/>
      </c>
      <c r="J37" s="39">
        <v>1.0001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2.0011000000000001</v>
      </c>
    </row>
    <row r="38" spans="1:23" ht="18" x14ac:dyDescent="0.25">
      <c r="A38" s="30" t="s">
        <v>410</v>
      </c>
      <c r="B38" s="43" t="str">
        <v>Chry-77</v>
      </c>
      <c r="C38" s="20" t="str">
        <v/>
      </c>
      <c r="D38" s="20">
        <v>1.0001</v>
      </c>
      <c r="E38" s="20" t="str">
        <v/>
      </c>
      <c r="F38" s="39">
        <v>1.0001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1.0001</v>
      </c>
    </row>
    <row r="39" spans="1:23" ht="18" x14ac:dyDescent="0.25">
      <c r="A39" s="30" t="s">
        <v>428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08" t="s">
        <v>38</v>
      </c>
      <c r="B41" s="109"/>
      <c r="C41" s="105" t="s">
        <v>411</v>
      </c>
      <c r="D41" s="106"/>
      <c r="E41" s="106"/>
      <c r="F41" s="107"/>
      <c r="G41" s="105" t="s">
        <v>412</v>
      </c>
      <c r="H41" s="106"/>
      <c r="I41" s="106"/>
      <c r="J41" s="107"/>
      <c r="K41" s="105" t="s">
        <v>413</v>
      </c>
      <c r="L41" s="106"/>
      <c r="M41" s="106"/>
      <c r="N41" s="107"/>
      <c r="O41" s="105" t="s">
        <v>414</v>
      </c>
      <c r="P41" s="106"/>
      <c r="Q41" s="106"/>
      <c r="R41" s="107"/>
      <c r="S41" s="105" t="s">
        <v>415</v>
      </c>
      <c r="T41" s="106"/>
      <c r="U41" s="106"/>
      <c r="V41" s="107"/>
      <c r="W41" s="104" t="s">
        <v>33</v>
      </c>
    </row>
    <row r="42" spans="1:23" ht="27" x14ac:dyDescent="0.2">
      <c r="A42" s="110"/>
      <c r="B42" s="111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04"/>
    </row>
    <row r="43" spans="1:23" ht="18" x14ac:dyDescent="0.25">
      <c r="A43" s="28">
        <v>1</v>
      </c>
      <c r="B43" s="43" t="str">
        <f t="shared" ref="B43:C58" si="0">B5</f>
        <v>TLM_SKIZZO 34</v>
      </c>
      <c r="C43" s="12" t="str">
        <f t="shared" si="0"/>
        <v/>
      </c>
      <c r="D43" s="12">
        <f t="shared" ref="D43:W43" si="1">D5</f>
        <v>20</v>
      </c>
      <c r="E43" s="12">
        <f t="shared" si="1"/>
        <v>1</v>
      </c>
      <c r="F43" s="39">
        <f t="shared" si="1"/>
        <v>21</v>
      </c>
      <c r="G43" s="12" t="str">
        <f t="shared" si="1"/>
        <v/>
      </c>
      <c r="H43" s="12">
        <f t="shared" si="1"/>
        <v>20</v>
      </c>
      <c r="I43" s="12" t="str">
        <f t="shared" si="1"/>
        <v/>
      </c>
      <c r="J43" s="39">
        <f t="shared" si="1"/>
        <v>20</v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>
        <f t="shared" si="1"/>
        <v>41</v>
      </c>
    </row>
    <row r="44" spans="1:23" ht="18" x14ac:dyDescent="0.25">
      <c r="A44" s="28">
        <v>2</v>
      </c>
      <c r="B44" s="43" t="str">
        <f t="shared" si="0"/>
        <v>selpa974</v>
      </c>
      <c r="C44" s="12" t="str">
        <f t="shared" si="0"/>
        <v/>
      </c>
      <c r="D44" s="12">
        <f t="shared" ref="D44:W44" si="2">D6</f>
        <v>16</v>
      </c>
      <c r="E44" s="12" t="str">
        <f t="shared" si="2"/>
        <v/>
      </c>
      <c r="F44" s="39">
        <f t="shared" si="2"/>
        <v>16</v>
      </c>
      <c r="G44" s="12" t="str">
        <f t="shared" si="2"/>
        <v/>
      </c>
      <c r="H44" s="12">
        <f t="shared" si="2"/>
        <v>14</v>
      </c>
      <c r="I44" s="12">
        <f t="shared" si="2"/>
        <v>1</v>
      </c>
      <c r="J44" s="39">
        <f t="shared" si="2"/>
        <v>15</v>
      </c>
      <c r="K44" s="12" t="str">
        <f t="shared" si="2"/>
        <v/>
      </c>
      <c r="L44" s="12" t="str">
        <f t="shared" si="2"/>
        <v/>
      </c>
      <c r="M44" s="12" t="str">
        <f t="shared" si="2"/>
        <v/>
      </c>
      <c r="N44" s="39" t="str">
        <f t="shared" si="2"/>
        <v/>
      </c>
      <c r="O44" s="12" t="str">
        <f t="shared" si="2"/>
        <v/>
      </c>
      <c r="P44" s="12" t="str">
        <f t="shared" si="2"/>
        <v/>
      </c>
      <c r="Q44" s="12" t="str">
        <f t="shared" si="2"/>
        <v/>
      </c>
      <c r="R44" s="39" t="str">
        <f t="shared" si="2"/>
        <v/>
      </c>
      <c r="S44" s="12" t="str">
        <f t="shared" si="2"/>
        <v/>
      </c>
      <c r="T44" s="12" t="str">
        <f t="shared" si="2"/>
        <v/>
      </c>
      <c r="U44" s="12" t="str">
        <f t="shared" si="2"/>
        <v/>
      </c>
      <c r="V44" s="39" t="str">
        <f t="shared" si="2"/>
        <v/>
      </c>
      <c r="W44" s="24">
        <f t="shared" si="2"/>
        <v>31</v>
      </c>
    </row>
    <row r="45" spans="1:23" ht="18" x14ac:dyDescent="0.25">
      <c r="A45" s="28">
        <v>3</v>
      </c>
      <c r="B45" s="43" t="str">
        <f t="shared" si="0"/>
        <v>andvea_99</v>
      </c>
      <c r="C45" s="12" t="str">
        <f t="shared" si="0"/>
        <v/>
      </c>
      <c r="D45" s="12" t="str">
        <f t="shared" ref="D45:W45" si="3">D7</f>
        <v/>
      </c>
      <c r="E45" s="12" t="str">
        <f t="shared" si="3"/>
        <v/>
      </c>
      <c r="F45" s="39" t="str">
        <f t="shared" si="3"/>
        <v/>
      </c>
      <c r="G45" s="12">
        <f t="shared" si="3"/>
        <v>1</v>
      </c>
      <c r="H45" s="12">
        <f t="shared" si="3"/>
        <v>25</v>
      </c>
      <c r="I45" s="12" t="str">
        <f t="shared" si="3"/>
        <v/>
      </c>
      <c r="J45" s="39">
        <f t="shared" si="3"/>
        <v>26</v>
      </c>
      <c r="K45" s="12" t="str">
        <f t="shared" si="3"/>
        <v/>
      </c>
      <c r="L45" s="12" t="str">
        <f t="shared" si="3"/>
        <v/>
      </c>
      <c r="M45" s="12" t="str">
        <f t="shared" si="3"/>
        <v/>
      </c>
      <c r="N45" s="39" t="str">
        <f t="shared" si="3"/>
        <v/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 t="str">
        <f t="shared" si="3"/>
        <v/>
      </c>
      <c r="U45" s="12" t="str">
        <f t="shared" si="3"/>
        <v/>
      </c>
      <c r="V45" s="39" t="str">
        <f t="shared" si="3"/>
        <v/>
      </c>
      <c r="W45" s="24">
        <f t="shared" si="3"/>
        <v>26</v>
      </c>
    </row>
    <row r="46" spans="1:23" ht="18" x14ac:dyDescent="0.25">
      <c r="A46" s="28">
        <v>4</v>
      </c>
      <c r="B46" s="43" t="str">
        <f t="shared" si="0"/>
        <v>Patanel86</v>
      </c>
      <c r="C46" s="12">
        <f t="shared" si="0"/>
        <v>1</v>
      </c>
      <c r="D46" s="12">
        <f t="shared" ref="D46:W46" si="4">D8</f>
        <v>25</v>
      </c>
      <c r="E46" s="12" t="str">
        <f t="shared" si="4"/>
        <v/>
      </c>
      <c r="F46" s="39">
        <f t="shared" si="4"/>
        <v>26</v>
      </c>
      <c r="G46" s="12" t="str">
        <f t="shared" si="4"/>
        <v/>
      </c>
      <c r="H46" s="12" t="str">
        <f t="shared" si="4"/>
        <v/>
      </c>
      <c r="I46" s="12" t="str">
        <f t="shared" si="4"/>
        <v/>
      </c>
      <c r="J46" s="39" t="str">
        <f t="shared" si="4"/>
        <v/>
      </c>
      <c r="K46" s="12" t="str">
        <f t="shared" si="4"/>
        <v/>
      </c>
      <c r="L46" s="12" t="str">
        <f t="shared" si="4"/>
        <v/>
      </c>
      <c r="M46" s="12" t="str">
        <f t="shared" si="4"/>
        <v/>
      </c>
      <c r="N46" s="39" t="str">
        <f t="shared" si="4"/>
        <v/>
      </c>
      <c r="O46" s="12" t="str">
        <f t="shared" si="4"/>
        <v/>
      </c>
      <c r="P46" s="12" t="str">
        <f t="shared" si="4"/>
        <v/>
      </c>
      <c r="Q46" s="12" t="str">
        <f t="shared" si="4"/>
        <v/>
      </c>
      <c r="R46" s="39" t="str">
        <f t="shared" si="4"/>
        <v/>
      </c>
      <c r="S46" s="12" t="str">
        <f t="shared" si="4"/>
        <v/>
      </c>
      <c r="T46" s="12" t="str">
        <f t="shared" si="4"/>
        <v/>
      </c>
      <c r="U46" s="12" t="str">
        <f t="shared" si="4"/>
        <v/>
      </c>
      <c r="V46" s="39" t="str">
        <f t="shared" si="4"/>
        <v/>
      </c>
      <c r="W46" s="24">
        <f t="shared" si="4"/>
        <v>26</v>
      </c>
    </row>
    <row r="47" spans="1:23" ht="18" x14ac:dyDescent="0.25">
      <c r="A47" s="28">
        <v>5</v>
      </c>
      <c r="B47" s="43" t="str">
        <f t="shared" si="0"/>
        <v>Rupetheking</v>
      </c>
      <c r="C47" s="12" t="str">
        <f t="shared" si="0"/>
        <v/>
      </c>
      <c r="D47" s="12">
        <f t="shared" ref="D47:W47" si="5">D9</f>
        <v>18</v>
      </c>
      <c r="E47" s="12" t="str">
        <f t="shared" si="5"/>
        <v/>
      </c>
      <c r="F47" s="39">
        <f t="shared" si="5"/>
        <v>18</v>
      </c>
      <c r="G47" s="12" t="str">
        <f t="shared" si="5"/>
        <v/>
      </c>
      <c r="H47" s="12">
        <f t="shared" si="5"/>
        <v>4</v>
      </c>
      <c r="I47" s="12" t="str">
        <f t="shared" si="5"/>
        <v/>
      </c>
      <c r="J47" s="39">
        <f t="shared" si="5"/>
        <v>4</v>
      </c>
      <c r="K47" s="12" t="str">
        <f t="shared" si="5"/>
        <v/>
      </c>
      <c r="L47" s="12" t="str">
        <f t="shared" si="5"/>
        <v/>
      </c>
      <c r="M47" s="12" t="str">
        <f t="shared" si="5"/>
        <v/>
      </c>
      <c r="N47" s="39" t="str">
        <f t="shared" si="5"/>
        <v/>
      </c>
      <c r="O47" s="12" t="str">
        <f t="shared" si="5"/>
        <v/>
      </c>
      <c r="P47" s="12" t="str">
        <f t="shared" si="5"/>
        <v/>
      </c>
      <c r="Q47" s="12" t="str">
        <f t="shared" si="5"/>
        <v/>
      </c>
      <c r="R47" s="39" t="str">
        <f t="shared" si="5"/>
        <v/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22</v>
      </c>
    </row>
    <row r="48" spans="1:23" ht="18" x14ac:dyDescent="0.25">
      <c r="A48" s="28">
        <v>6</v>
      </c>
      <c r="B48" s="43" t="str">
        <f t="shared" si="0"/>
        <v>Bobgre93</v>
      </c>
      <c r="C48" s="12" t="str">
        <f t="shared" si="0"/>
        <v/>
      </c>
      <c r="D48" s="12" t="str">
        <f t="shared" ref="D48:W48" si="6">D10</f>
        <v/>
      </c>
      <c r="E48" s="12" t="str">
        <f t="shared" si="6"/>
        <v/>
      </c>
      <c r="F48" s="39" t="str">
        <f t="shared" si="6"/>
        <v/>
      </c>
      <c r="G48" s="12" t="str">
        <f t="shared" si="6"/>
        <v/>
      </c>
      <c r="H48" s="12">
        <f t="shared" si="6"/>
        <v>18</v>
      </c>
      <c r="I48" s="12" t="str">
        <f t="shared" si="6"/>
        <v/>
      </c>
      <c r="J48" s="39">
        <f t="shared" si="6"/>
        <v>18</v>
      </c>
      <c r="K48" s="12" t="str">
        <f t="shared" si="6"/>
        <v/>
      </c>
      <c r="L48" s="12" t="str">
        <f t="shared" si="6"/>
        <v/>
      </c>
      <c r="M48" s="12" t="str">
        <f t="shared" si="6"/>
        <v/>
      </c>
      <c r="N48" s="39" t="str">
        <f t="shared" si="6"/>
        <v/>
      </c>
      <c r="O48" s="12" t="str">
        <f t="shared" si="6"/>
        <v/>
      </c>
      <c r="P48" s="12" t="str">
        <f t="shared" si="6"/>
        <v/>
      </c>
      <c r="Q48" s="12" t="str">
        <f t="shared" si="6"/>
        <v/>
      </c>
      <c r="R48" s="39" t="str">
        <f t="shared" si="6"/>
        <v/>
      </c>
      <c r="S48" s="12" t="str">
        <f t="shared" si="6"/>
        <v/>
      </c>
      <c r="T48" s="12" t="str">
        <f t="shared" si="6"/>
        <v/>
      </c>
      <c r="U48" s="12" t="str">
        <f t="shared" si="6"/>
        <v/>
      </c>
      <c r="V48" s="39" t="str">
        <f t="shared" si="6"/>
        <v/>
      </c>
      <c r="W48" s="24">
        <f t="shared" si="6"/>
        <v>18</v>
      </c>
    </row>
    <row r="49" spans="1:23" ht="18" x14ac:dyDescent="0.25">
      <c r="A49" s="28">
        <v>7</v>
      </c>
      <c r="B49" s="43" t="str">
        <f t="shared" si="0"/>
        <v>xRUA85x</v>
      </c>
      <c r="C49" s="12" t="str">
        <f t="shared" si="0"/>
        <v/>
      </c>
      <c r="D49" s="12">
        <f t="shared" ref="D49:W49" si="7">D11</f>
        <v>12</v>
      </c>
      <c r="E49" s="12" t="str">
        <f t="shared" si="7"/>
        <v/>
      </c>
      <c r="F49" s="39">
        <f t="shared" si="7"/>
        <v>12</v>
      </c>
      <c r="G49" s="12" t="str">
        <f t="shared" si="7"/>
        <v/>
      </c>
      <c r="H49" s="12">
        <f t="shared" si="7"/>
        <v>6</v>
      </c>
      <c r="I49" s="12" t="str">
        <f t="shared" si="7"/>
        <v/>
      </c>
      <c r="J49" s="39">
        <f t="shared" si="7"/>
        <v>6</v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 t="str">
        <f t="shared" si="7"/>
        <v/>
      </c>
      <c r="Q49" s="12" t="str">
        <f t="shared" si="7"/>
        <v/>
      </c>
      <c r="R49" s="39" t="str">
        <f t="shared" si="7"/>
        <v/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18</v>
      </c>
    </row>
    <row r="50" spans="1:23" ht="18" x14ac:dyDescent="0.25">
      <c r="A50" s="28">
        <v>8</v>
      </c>
      <c r="B50" s="43" t="str">
        <f t="shared" si="0"/>
        <v>mattebenny</v>
      </c>
      <c r="C50" s="12" t="str">
        <f t="shared" si="0"/>
        <v/>
      </c>
      <c r="D50" s="12" t="str">
        <f t="shared" ref="D50:W50" si="8">D12</f>
        <v/>
      </c>
      <c r="E50" s="12" t="str">
        <f t="shared" si="8"/>
        <v/>
      </c>
      <c r="F50" s="39" t="str">
        <f t="shared" si="8"/>
        <v/>
      </c>
      <c r="G50" s="12" t="str">
        <f t="shared" si="8"/>
        <v/>
      </c>
      <c r="H50" s="12">
        <f t="shared" si="8"/>
        <v>16</v>
      </c>
      <c r="I50" s="12" t="str">
        <f t="shared" si="8"/>
        <v/>
      </c>
      <c r="J50" s="39">
        <f t="shared" si="8"/>
        <v>16</v>
      </c>
      <c r="K50" s="12" t="str">
        <f t="shared" si="8"/>
        <v/>
      </c>
      <c r="L50" s="12" t="str">
        <f t="shared" si="8"/>
        <v/>
      </c>
      <c r="M50" s="12" t="str">
        <f t="shared" si="8"/>
        <v/>
      </c>
      <c r="N50" s="39" t="str">
        <f t="shared" si="8"/>
        <v/>
      </c>
      <c r="O50" s="12" t="str">
        <f t="shared" si="8"/>
        <v/>
      </c>
      <c r="P50" s="12" t="str">
        <f t="shared" si="8"/>
        <v/>
      </c>
      <c r="Q50" s="12" t="str">
        <f t="shared" si="8"/>
        <v/>
      </c>
      <c r="R50" s="39" t="str">
        <f t="shared" si="8"/>
        <v/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16</v>
      </c>
    </row>
    <row r="51" spans="1:23" ht="18" x14ac:dyDescent="0.25">
      <c r="A51" s="28">
        <v>9</v>
      </c>
      <c r="B51" s="43" t="str">
        <f t="shared" si="0"/>
        <v>Silentium884</v>
      </c>
      <c r="C51" s="12" t="str">
        <f t="shared" si="0"/>
        <v/>
      </c>
      <c r="D51" s="12">
        <f t="shared" ref="D51:W51" si="9">D13</f>
        <v>14</v>
      </c>
      <c r="E51" s="12" t="str">
        <f t="shared" si="9"/>
        <v/>
      </c>
      <c r="F51" s="39">
        <f t="shared" si="9"/>
        <v>14</v>
      </c>
      <c r="G51" s="12" t="str">
        <f t="shared" si="9"/>
        <v/>
      </c>
      <c r="H51" s="12">
        <f t="shared" si="9"/>
        <v>1.01</v>
      </c>
      <c r="I51" s="12" t="str">
        <f t="shared" si="9"/>
        <v/>
      </c>
      <c r="J51" s="39">
        <f t="shared" si="9"/>
        <v>1.01</v>
      </c>
      <c r="K51" s="12" t="str">
        <f t="shared" si="9"/>
        <v/>
      </c>
      <c r="L51" s="12" t="str">
        <f t="shared" si="9"/>
        <v/>
      </c>
      <c r="M51" s="12" t="str">
        <f t="shared" si="9"/>
        <v/>
      </c>
      <c r="N51" s="39" t="str">
        <f t="shared" si="9"/>
        <v/>
      </c>
      <c r="O51" s="12" t="str">
        <f t="shared" si="9"/>
        <v/>
      </c>
      <c r="P51" s="12" t="str">
        <f t="shared" si="9"/>
        <v/>
      </c>
      <c r="Q51" s="12" t="str">
        <f t="shared" si="9"/>
        <v/>
      </c>
      <c r="R51" s="39" t="str">
        <f t="shared" si="9"/>
        <v/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15.01</v>
      </c>
    </row>
    <row r="52" spans="1:23" ht="18" x14ac:dyDescent="0.25">
      <c r="A52" s="28">
        <v>10</v>
      </c>
      <c r="B52" s="43" t="str">
        <f t="shared" si="0"/>
        <v>Liotru1979</v>
      </c>
      <c r="C52" s="12" t="str">
        <f t="shared" si="0"/>
        <v/>
      </c>
      <c r="D52" s="12">
        <f t="shared" ref="D52:W52" si="10">D14</f>
        <v>1.0009999999999999</v>
      </c>
      <c r="E52" s="12" t="str">
        <f t="shared" si="10"/>
        <v/>
      </c>
      <c r="F52" s="39">
        <f t="shared" si="10"/>
        <v>1.0009999999999999</v>
      </c>
      <c r="G52" s="12" t="str">
        <f t="shared" si="10"/>
        <v/>
      </c>
      <c r="H52" s="12">
        <f t="shared" si="10"/>
        <v>12</v>
      </c>
      <c r="I52" s="12" t="str">
        <f t="shared" si="10"/>
        <v/>
      </c>
      <c r="J52" s="39">
        <f t="shared" si="10"/>
        <v>12</v>
      </c>
      <c r="K52" s="12" t="str">
        <f t="shared" si="10"/>
        <v/>
      </c>
      <c r="L52" s="12" t="str">
        <f t="shared" si="10"/>
        <v/>
      </c>
      <c r="M52" s="12" t="str">
        <f t="shared" si="10"/>
        <v/>
      </c>
      <c r="N52" s="39" t="str">
        <f t="shared" si="10"/>
        <v/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 t="str">
        <f t="shared" si="10"/>
        <v/>
      </c>
      <c r="U52" s="12" t="str">
        <f t="shared" si="10"/>
        <v/>
      </c>
      <c r="V52" s="39" t="str">
        <f t="shared" si="10"/>
        <v/>
      </c>
      <c r="W52" s="24">
        <f t="shared" si="10"/>
        <v>13.000999999999999</v>
      </c>
    </row>
    <row r="53" spans="1:23" ht="18" x14ac:dyDescent="0.25">
      <c r="A53" s="28">
        <v>11</v>
      </c>
      <c r="B53" s="43" t="str">
        <f t="shared" si="0"/>
        <v>TheGuarny</v>
      </c>
      <c r="C53" s="12" t="str">
        <f t="shared" si="0"/>
        <v/>
      </c>
      <c r="D53" s="12" t="str">
        <f t="shared" ref="D53:W53" si="11">D15</f>
        <v/>
      </c>
      <c r="E53" s="12" t="str">
        <f t="shared" si="11"/>
        <v/>
      </c>
      <c r="F53" s="39" t="str">
        <f t="shared" si="11"/>
        <v/>
      </c>
      <c r="G53" s="12" t="str">
        <f t="shared" si="11"/>
        <v/>
      </c>
      <c r="H53" s="12">
        <f t="shared" si="11"/>
        <v>10</v>
      </c>
      <c r="I53" s="12" t="str">
        <f t="shared" si="11"/>
        <v/>
      </c>
      <c r="J53" s="39">
        <f t="shared" si="11"/>
        <v>10</v>
      </c>
      <c r="K53" s="12" t="str">
        <f t="shared" si="11"/>
        <v/>
      </c>
      <c r="L53" s="12" t="str">
        <f t="shared" si="11"/>
        <v/>
      </c>
      <c r="M53" s="12" t="str">
        <f t="shared" si="11"/>
        <v/>
      </c>
      <c r="N53" s="39" t="str">
        <f t="shared" si="11"/>
        <v/>
      </c>
      <c r="O53" s="12" t="str">
        <f t="shared" si="11"/>
        <v/>
      </c>
      <c r="P53" s="12" t="str">
        <f t="shared" si="11"/>
        <v/>
      </c>
      <c r="Q53" s="12" t="str">
        <f t="shared" si="11"/>
        <v/>
      </c>
      <c r="R53" s="39" t="str">
        <f t="shared" si="11"/>
        <v/>
      </c>
      <c r="S53" s="12" t="str">
        <f t="shared" si="11"/>
        <v/>
      </c>
      <c r="T53" s="12" t="str">
        <f t="shared" si="11"/>
        <v/>
      </c>
      <c r="U53" s="12" t="str">
        <f t="shared" si="11"/>
        <v/>
      </c>
      <c r="V53" s="39" t="str">
        <f t="shared" si="11"/>
        <v/>
      </c>
      <c r="W53" s="24">
        <f t="shared" si="11"/>
        <v>10</v>
      </c>
    </row>
    <row r="54" spans="1:23" ht="18" x14ac:dyDescent="0.25">
      <c r="A54" s="28">
        <v>12</v>
      </c>
      <c r="B54" s="43" t="str">
        <f t="shared" si="0"/>
        <v>Ulix1990</v>
      </c>
      <c r="C54" s="12" t="str">
        <f t="shared" si="0"/>
        <v/>
      </c>
      <c r="D54" s="12">
        <f t="shared" ref="D54:W54" si="12">D16</f>
        <v>10</v>
      </c>
      <c r="E54" s="12" t="str">
        <f t="shared" si="12"/>
        <v/>
      </c>
      <c r="F54" s="39">
        <f t="shared" si="12"/>
        <v>10</v>
      </c>
      <c r="G54" s="12" t="str">
        <f t="shared" si="12"/>
        <v/>
      </c>
      <c r="H54" s="12" t="str">
        <f t="shared" si="12"/>
        <v/>
      </c>
      <c r="I54" s="12" t="str">
        <f t="shared" si="12"/>
        <v/>
      </c>
      <c r="J54" s="39" t="str">
        <f t="shared" si="12"/>
        <v/>
      </c>
      <c r="K54" s="12" t="str">
        <f t="shared" si="12"/>
        <v/>
      </c>
      <c r="L54" s="12" t="str">
        <f t="shared" si="12"/>
        <v/>
      </c>
      <c r="M54" s="12" t="str">
        <f t="shared" si="12"/>
        <v/>
      </c>
      <c r="N54" s="39" t="str">
        <f t="shared" si="12"/>
        <v/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10</v>
      </c>
    </row>
    <row r="55" spans="1:23" ht="18" x14ac:dyDescent="0.25">
      <c r="A55" s="28">
        <v>13</v>
      </c>
      <c r="B55" s="43" t="str">
        <f t="shared" si="0"/>
        <v>TLM_wid83</v>
      </c>
      <c r="C55" s="12" t="str">
        <f t="shared" si="0"/>
        <v/>
      </c>
      <c r="D55" s="12">
        <f t="shared" ref="D55:W55" si="13">D17</f>
        <v>6</v>
      </c>
      <c r="E55" s="12" t="str">
        <f t="shared" si="13"/>
        <v/>
      </c>
      <c r="F55" s="39">
        <f t="shared" si="13"/>
        <v>6</v>
      </c>
      <c r="G55" s="12" t="str">
        <f t="shared" si="13"/>
        <v/>
      </c>
      <c r="H55" s="12">
        <f t="shared" si="13"/>
        <v>2</v>
      </c>
      <c r="I55" s="12" t="str">
        <f t="shared" si="13"/>
        <v/>
      </c>
      <c r="J55" s="39">
        <f t="shared" si="13"/>
        <v>2</v>
      </c>
      <c r="K55" s="12" t="str">
        <f t="shared" si="13"/>
        <v/>
      </c>
      <c r="L55" s="12" t="str">
        <f t="shared" si="13"/>
        <v/>
      </c>
      <c r="M55" s="12" t="str">
        <f t="shared" si="13"/>
        <v/>
      </c>
      <c r="N55" s="39" t="str">
        <f t="shared" si="13"/>
        <v/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8</v>
      </c>
    </row>
    <row r="56" spans="1:23" ht="18" x14ac:dyDescent="0.25">
      <c r="A56" s="28">
        <v>14</v>
      </c>
      <c r="B56" s="43" t="str">
        <f t="shared" si="0"/>
        <v>TLM_Kappa</v>
      </c>
      <c r="C56" s="12" t="str">
        <f t="shared" si="0"/>
        <v/>
      </c>
      <c r="D56" s="12">
        <f t="shared" ref="D56:W56" si="14">D18</f>
        <v>4</v>
      </c>
      <c r="E56" s="12" t="str">
        <f t="shared" si="14"/>
        <v/>
      </c>
      <c r="F56" s="39">
        <f t="shared" si="14"/>
        <v>4</v>
      </c>
      <c r="G56" s="12" t="str">
        <f t="shared" si="14"/>
        <v/>
      </c>
      <c r="H56" s="12" t="str">
        <f t="shared" si="14"/>
        <v/>
      </c>
      <c r="I56" s="12" t="str">
        <f t="shared" si="14"/>
        <v/>
      </c>
      <c r="J56" s="39" t="str">
        <f t="shared" si="14"/>
        <v/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4</v>
      </c>
    </row>
    <row r="57" spans="1:23" ht="18" x14ac:dyDescent="0.25">
      <c r="A57" s="28">
        <v>15</v>
      </c>
      <c r="B57" s="43" t="str">
        <f t="shared" si="0"/>
        <v>Isnotacrime</v>
      </c>
      <c r="C57" s="12" t="str">
        <f t="shared" si="0"/>
        <v/>
      </c>
      <c r="D57" s="12">
        <f t="shared" ref="D57:W57" si="15">D19</f>
        <v>2</v>
      </c>
      <c r="E57" s="12" t="str">
        <f t="shared" si="15"/>
        <v/>
      </c>
      <c r="F57" s="39">
        <f t="shared" si="15"/>
        <v>2</v>
      </c>
      <c r="G57" s="12" t="str">
        <f t="shared" si="15"/>
        <v/>
      </c>
      <c r="H57" s="12">
        <f t="shared" si="15"/>
        <v>1.0009999999999999</v>
      </c>
      <c r="I57" s="12" t="str">
        <f t="shared" si="15"/>
        <v/>
      </c>
      <c r="J57" s="39">
        <f t="shared" si="15"/>
        <v>1.0009999999999999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3.0009999999999999</v>
      </c>
    </row>
    <row r="58" spans="1:23" ht="18" x14ac:dyDescent="0.25">
      <c r="A58" s="28">
        <v>16</v>
      </c>
      <c r="B58" s="43" t="str">
        <f t="shared" si="0"/>
        <v>Verce90</v>
      </c>
      <c r="C58" s="12" t="str">
        <f t="shared" si="0"/>
        <v/>
      </c>
      <c r="D58" s="12">
        <f t="shared" ref="D58:W58" si="16">D20</f>
        <v>1.0001</v>
      </c>
      <c r="E58" s="12" t="str">
        <f t="shared" si="16"/>
        <v/>
      </c>
      <c r="F58" s="39">
        <f t="shared" si="16"/>
        <v>1.0001</v>
      </c>
      <c r="G58" s="12" t="str">
        <f t="shared" si="16"/>
        <v/>
      </c>
      <c r="H58" s="12">
        <f t="shared" si="16"/>
        <v>1.0001</v>
      </c>
      <c r="I58" s="12" t="str">
        <f t="shared" si="16"/>
        <v/>
      </c>
      <c r="J58" s="39">
        <f t="shared" si="16"/>
        <v>1.0001</v>
      </c>
      <c r="K58" s="12" t="str">
        <f t="shared" si="16"/>
        <v/>
      </c>
      <c r="L58" s="12" t="str">
        <f t="shared" si="16"/>
        <v/>
      </c>
      <c r="M58" s="12" t="str">
        <f t="shared" si="16"/>
        <v/>
      </c>
      <c r="N58" s="39" t="str">
        <f t="shared" si="16"/>
        <v/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2.0002</v>
      </c>
    </row>
    <row r="59" spans="1:23" ht="18" x14ac:dyDescent="0.25">
      <c r="A59" s="28">
        <v>17</v>
      </c>
      <c r="B59" s="43" t="str">
        <f>B23</f>
        <v>Parenji</v>
      </c>
      <c r="C59" s="12">
        <f>C23</f>
        <v>1</v>
      </c>
      <c r="D59" s="12">
        <f t="shared" ref="D59:W59" si="17">D23</f>
        <v>20</v>
      </c>
      <c r="E59" s="12">
        <f t="shared" si="17"/>
        <v>1</v>
      </c>
      <c r="F59" s="39">
        <f t="shared" si="17"/>
        <v>22</v>
      </c>
      <c r="G59" s="12">
        <f t="shared" si="17"/>
        <v>1</v>
      </c>
      <c r="H59" s="12">
        <f t="shared" si="17"/>
        <v>20</v>
      </c>
      <c r="I59" s="12" t="str">
        <f t="shared" si="17"/>
        <v/>
      </c>
      <c r="J59" s="39">
        <f t="shared" si="17"/>
        <v>21</v>
      </c>
      <c r="K59" s="12" t="str">
        <f t="shared" si="17"/>
        <v/>
      </c>
      <c r="L59" s="12" t="str">
        <f t="shared" si="17"/>
        <v/>
      </c>
      <c r="M59" s="12" t="str">
        <f t="shared" si="17"/>
        <v/>
      </c>
      <c r="N59" s="39" t="str">
        <f t="shared" si="17"/>
        <v/>
      </c>
      <c r="O59" s="12" t="str">
        <f t="shared" si="17"/>
        <v/>
      </c>
      <c r="P59" s="12" t="str">
        <f t="shared" si="17"/>
        <v/>
      </c>
      <c r="Q59" s="12" t="str">
        <f t="shared" si="17"/>
        <v/>
      </c>
      <c r="R59" s="39" t="str">
        <f t="shared" si="17"/>
        <v/>
      </c>
      <c r="S59" s="12" t="str">
        <f t="shared" si="17"/>
        <v/>
      </c>
      <c r="T59" s="12" t="str">
        <f t="shared" si="17"/>
        <v/>
      </c>
      <c r="U59" s="12" t="str">
        <f t="shared" si="17"/>
        <v/>
      </c>
      <c r="V59" s="39" t="str">
        <f t="shared" si="17"/>
        <v/>
      </c>
      <c r="W59" s="24">
        <f t="shared" si="17"/>
        <v>43</v>
      </c>
    </row>
    <row r="60" spans="1:23" ht="18" x14ac:dyDescent="0.25">
      <c r="A60" s="28">
        <v>18</v>
      </c>
      <c r="B60" s="43" t="str">
        <f t="shared" ref="B60:C74" si="18">B24</f>
        <v>Rupetheking</v>
      </c>
      <c r="C60" s="12" t="str">
        <f t="shared" si="18"/>
        <v/>
      </c>
      <c r="D60" s="12">
        <f t="shared" ref="D60:W60" si="19">D24</f>
        <v>25</v>
      </c>
      <c r="E60" s="12" t="str">
        <f t="shared" si="19"/>
        <v/>
      </c>
      <c r="F60" s="39">
        <f t="shared" si="19"/>
        <v>25</v>
      </c>
      <c r="G60" s="12" t="str">
        <f t="shared" si="19"/>
        <v/>
      </c>
      <c r="H60" s="12">
        <f t="shared" si="19"/>
        <v>12</v>
      </c>
      <c r="I60" s="12">
        <f t="shared" si="19"/>
        <v>1</v>
      </c>
      <c r="J60" s="39">
        <f t="shared" si="19"/>
        <v>13</v>
      </c>
      <c r="K60" s="12" t="str">
        <f t="shared" si="19"/>
        <v/>
      </c>
      <c r="L60" s="12" t="str">
        <f t="shared" si="19"/>
        <v/>
      </c>
      <c r="M60" s="12" t="str">
        <f t="shared" si="19"/>
        <v/>
      </c>
      <c r="N60" s="39" t="str">
        <f t="shared" si="19"/>
        <v/>
      </c>
      <c r="O60" s="12" t="str">
        <f t="shared" si="19"/>
        <v/>
      </c>
      <c r="P60" s="12" t="str">
        <f t="shared" si="19"/>
        <v/>
      </c>
      <c r="Q60" s="12" t="str">
        <f t="shared" si="19"/>
        <v/>
      </c>
      <c r="R60" s="39" t="str">
        <f t="shared" si="19"/>
        <v/>
      </c>
      <c r="S60" s="12" t="str">
        <f t="shared" si="19"/>
        <v/>
      </c>
      <c r="T60" s="12" t="str">
        <f t="shared" si="19"/>
        <v/>
      </c>
      <c r="U60" s="12" t="str">
        <f t="shared" si="19"/>
        <v/>
      </c>
      <c r="V60" s="39" t="str">
        <f t="shared" si="19"/>
        <v/>
      </c>
      <c r="W60" s="24">
        <f t="shared" si="19"/>
        <v>38</v>
      </c>
    </row>
    <row r="61" spans="1:23" ht="18" x14ac:dyDescent="0.25">
      <c r="A61" s="28">
        <v>19</v>
      </c>
      <c r="B61" s="43" t="str">
        <f t="shared" si="18"/>
        <v>TLM_SKIZZO 34</v>
      </c>
      <c r="C61" s="12" t="str">
        <f t="shared" si="18"/>
        <v/>
      </c>
      <c r="D61" s="12">
        <f t="shared" ref="D61:W61" si="20">D25</f>
        <v>16</v>
      </c>
      <c r="E61" s="12" t="str">
        <f t="shared" si="20"/>
        <v/>
      </c>
      <c r="F61" s="39">
        <f t="shared" si="20"/>
        <v>16</v>
      </c>
      <c r="G61" s="12" t="str">
        <f t="shared" si="20"/>
        <v/>
      </c>
      <c r="H61" s="12">
        <f t="shared" si="20"/>
        <v>18</v>
      </c>
      <c r="I61" s="12" t="str">
        <f t="shared" si="20"/>
        <v/>
      </c>
      <c r="J61" s="39">
        <f t="shared" si="20"/>
        <v>18</v>
      </c>
      <c r="K61" s="12" t="str">
        <f t="shared" si="20"/>
        <v/>
      </c>
      <c r="L61" s="12" t="str">
        <f t="shared" si="20"/>
        <v/>
      </c>
      <c r="M61" s="12" t="str">
        <f t="shared" si="20"/>
        <v/>
      </c>
      <c r="N61" s="39" t="str">
        <f t="shared" si="20"/>
        <v/>
      </c>
      <c r="O61" s="12" t="str">
        <f t="shared" si="20"/>
        <v/>
      </c>
      <c r="P61" s="12" t="str">
        <f t="shared" si="20"/>
        <v/>
      </c>
      <c r="Q61" s="12" t="str">
        <f t="shared" si="20"/>
        <v/>
      </c>
      <c r="R61" s="39" t="str">
        <f t="shared" si="20"/>
        <v/>
      </c>
      <c r="S61" s="12" t="str">
        <f t="shared" si="20"/>
        <v/>
      </c>
      <c r="T61" s="12" t="str">
        <f t="shared" si="20"/>
        <v/>
      </c>
      <c r="U61" s="12" t="str">
        <f t="shared" si="20"/>
        <v/>
      </c>
      <c r="V61" s="39" t="str">
        <f t="shared" si="20"/>
        <v/>
      </c>
      <c r="W61" s="24">
        <f t="shared" si="20"/>
        <v>34</v>
      </c>
    </row>
    <row r="62" spans="1:23" ht="18" x14ac:dyDescent="0.25">
      <c r="A62" s="28">
        <v>20</v>
      </c>
      <c r="B62" s="43" t="str">
        <f t="shared" si="18"/>
        <v>andvea_99</v>
      </c>
      <c r="C62" s="12" t="str">
        <f t="shared" si="18"/>
        <v/>
      </c>
      <c r="D62" s="12" t="str">
        <f t="shared" ref="D62:W62" si="21">D26</f>
        <v/>
      </c>
      <c r="E62" s="12" t="str">
        <f t="shared" si="21"/>
        <v/>
      </c>
      <c r="F62" s="39" t="str">
        <f t="shared" si="21"/>
        <v/>
      </c>
      <c r="G62" s="12" t="str">
        <f t="shared" si="21"/>
        <v/>
      </c>
      <c r="H62" s="12">
        <f t="shared" si="21"/>
        <v>25</v>
      </c>
      <c r="I62" s="12" t="str">
        <f t="shared" si="21"/>
        <v/>
      </c>
      <c r="J62" s="39">
        <f t="shared" si="21"/>
        <v>25</v>
      </c>
      <c r="K62" s="12" t="str">
        <f t="shared" si="21"/>
        <v/>
      </c>
      <c r="L62" s="12" t="str">
        <f t="shared" si="21"/>
        <v/>
      </c>
      <c r="M62" s="12" t="str">
        <f t="shared" si="21"/>
        <v/>
      </c>
      <c r="N62" s="39" t="str">
        <f t="shared" si="21"/>
        <v/>
      </c>
      <c r="O62" s="12" t="str">
        <f t="shared" si="21"/>
        <v/>
      </c>
      <c r="P62" s="12" t="str">
        <f t="shared" si="21"/>
        <v/>
      </c>
      <c r="Q62" s="12" t="str">
        <f t="shared" si="21"/>
        <v/>
      </c>
      <c r="R62" s="39" t="str">
        <f t="shared" si="21"/>
        <v/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25</v>
      </c>
    </row>
    <row r="63" spans="1:23" ht="18" x14ac:dyDescent="0.25">
      <c r="A63" s="28">
        <v>21</v>
      </c>
      <c r="B63" s="43" t="str">
        <f t="shared" si="18"/>
        <v>mark126p</v>
      </c>
      <c r="C63" s="12" t="str">
        <f t="shared" si="18"/>
        <v/>
      </c>
      <c r="D63" s="12">
        <f t="shared" ref="D63:W63" si="22">D27</f>
        <v>10</v>
      </c>
      <c r="E63" s="12" t="str">
        <f t="shared" si="22"/>
        <v/>
      </c>
      <c r="F63" s="39">
        <f t="shared" si="22"/>
        <v>10</v>
      </c>
      <c r="G63" s="12" t="str">
        <f t="shared" si="22"/>
        <v/>
      </c>
      <c r="H63" s="12">
        <f t="shared" si="22"/>
        <v>14</v>
      </c>
      <c r="I63" s="12" t="str">
        <f t="shared" si="22"/>
        <v/>
      </c>
      <c r="J63" s="39">
        <f t="shared" si="22"/>
        <v>14</v>
      </c>
      <c r="K63" s="12" t="str">
        <f t="shared" si="22"/>
        <v/>
      </c>
      <c r="L63" s="12" t="str">
        <f t="shared" si="22"/>
        <v/>
      </c>
      <c r="M63" s="12" t="str">
        <f t="shared" si="22"/>
        <v/>
      </c>
      <c r="N63" s="39" t="str">
        <f t="shared" si="22"/>
        <v/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24</v>
      </c>
    </row>
    <row r="64" spans="1:23" ht="18" x14ac:dyDescent="0.25">
      <c r="A64" s="28">
        <v>22</v>
      </c>
      <c r="B64" s="43" t="str">
        <f t="shared" si="18"/>
        <v>TLM_dimaa66</v>
      </c>
      <c r="C64" s="12" t="str">
        <f t="shared" si="18"/>
        <v/>
      </c>
      <c r="D64" s="12">
        <f t="shared" ref="D64:W64" si="23">D28</f>
        <v>14</v>
      </c>
      <c r="E64" s="12" t="str">
        <f t="shared" si="23"/>
        <v/>
      </c>
      <c r="F64" s="39">
        <f t="shared" si="23"/>
        <v>14</v>
      </c>
      <c r="G64" s="12" t="str">
        <f t="shared" si="23"/>
        <v/>
      </c>
      <c r="H64" s="12">
        <f t="shared" si="23"/>
        <v>6</v>
      </c>
      <c r="I64" s="12" t="str">
        <f t="shared" si="23"/>
        <v/>
      </c>
      <c r="J64" s="39">
        <f t="shared" si="23"/>
        <v>6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20</v>
      </c>
    </row>
    <row r="65" spans="1:23" ht="18" x14ac:dyDescent="0.25">
      <c r="A65" s="28">
        <v>23</v>
      </c>
      <c r="B65" s="43" t="str">
        <f t="shared" si="18"/>
        <v>Ulix1990</v>
      </c>
      <c r="C65" s="12" t="str">
        <f t="shared" si="18"/>
        <v/>
      </c>
      <c r="D65" s="12">
        <f t="shared" ref="D65:W65" si="24">D29</f>
        <v>18</v>
      </c>
      <c r="E65" s="12" t="str">
        <f t="shared" si="24"/>
        <v/>
      </c>
      <c r="F65" s="39">
        <f t="shared" si="24"/>
        <v>18</v>
      </c>
      <c r="G65" s="12" t="str">
        <f t="shared" si="24"/>
        <v/>
      </c>
      <c r="H65" s="12" t="str">
        <f t="shared" si="24"/>
        <v/>
      </c>
      <c r="I65" s="12" t="str">
        <f t="shared" si="24"/>
        <v/>
      </c>
      <c r="J65" s="39" t="str">
        <f t="shared" si="24"/>
        <v/>
      </c>
      <c r="K65" s="12" t="str">
        <f t="shared" si="24"/>
        <v/>
      </c>
      <c r="L65" s="12" t="str">
        <f t="shared" si="24"/>
        <v/>
      </c>
      <c r="M65" s="12" t="str">
        <f t="shared" si="24"/>
        <v/>
      </c>
      <c r="N65" s="39" t="str">
        <f t="shared" si="24"/>
        <v/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 t="str">
        <f t="shared" si="24"/>
        <v/>
      </c>
      <c r="U65" s="12" t="str">
        <f t="shared" si="24"/>
        <v/>
      </c>
      <c r="V65" s="39" t="str">
        <f t="shared" si="24"/>
        <v/>
      </c>
      <c r="W65" s="24">
        <f t="shared" si="24"/>
        <v>18</v>
      </c>
    </row>
    <row r="66" spans="1:23" ht="18" x14ac:dyDescent="0.25">
      <c r="A66" s="28">
        <v>24</v>
      </c>
      <c r="B66" s="43" t="str">
        <f t="shared" si="18"/>
        <v>Tonyroto74</v>
      </c>
      <c r="C66" s="12" t="str">
        <f t="shared" si="18"/>
        <v/>
      </c>
      <c r="D66" s="12" t="str">
        <f t="shared" ref="D66:W66" si="25">D30</f>
        <v/>
      </c>
      <c r="E66" s="12" t="str">
        <f t="shared" si="25"/>
        <v/>
      </c>
      <c r="F66" s="39" t="str">
        <f t="shared" si="25"/>
        <v/>
      </c>
      <c r="G66" s="12" t="str">
        <f t="shared" si="25"/>
        <v/>
      </c>
      <c r="H66" s="12">
        <f t="shared" si="25"/>
        <v>16</v>
      </c>
      <c r="I66" s="12" t="str">
        <f t="shared" si="25"/>
        <v/>
      </c>
      <c r="J66" s="39">
        <f t="shared" si="25"/>
        <v>16</v>
      </c>
      <c r="K66" s="12" t="str">
        <f t="shared" si="25"/>
        <v/>
      </c>
      <c r="L66" s="12" t="str">
        <f t="shared" si="25"/>
        <v/>
      </c>
      <c r="M66" s="12" t="str">
        <f t="shared" si="25"/>
        <v/>
      </c>
      <c r="N66" s="39" t="str">
        <f t="shared" si="25"/>
        <v/>
      </c>
      <c r="O66" s="12" t="str">
        <f t="shared" si="25"/>
        <v/>
      </c>
      <c r="P66" s="12" t="str">
        <f t="shared" si="25"/>
        <v/>
      </c>
      <c r="Q66" s="12" t="str">
        <f t="shared" si="25"/>
        <v/>
      </c>
      <c r="R66" s="39" t="str">
        <f t="shared" si="25"/>
        <v/>
      </c>
      <c r="S66" s="12" t="str">
        <f t="shared" si="25"/>
        <v/>
      </c>
      <c r="T66" s="12" t="str">
        <f t="shared" si="25"/>
        <v/>
      </c>
      <c r="U66" s="12" t="str">
        <f t="shared" si="25"/>
        <v/>
      </c>
      <c r="V66" s="39" t="str">
        <f t="shared" si="25"/>
        <v/>
      </c>
      <c r="W66" s="24">
        <f t="shared" si="25"/>
        <v>16</v>
      </c>
    </row>
    <row r="67" spans="1:23" ht="18" x14ac:dyDescent="0.25">
      <c r="A67" s="28">
        <v>25</v>
      </c>
      <c r="B67" s="43" t="str">
        <f t="shared" si="18"/>
        <v>TLM_michaelFox12</v>
      </c>
      <c r="C67" s="12" t="str">
        <f t="shared" si="18"/>
        <v/>
      </c>
      <c r="D67" s="12">
        <f t="shared" ref="D67:W67" si="26">D31</f>
        <v>12</v>
      </c>
      <c r="E67" s="12" t="str">
        <f t="shared" si="26"/>
        <v/>
      </c>
      <c r="F67" s="39">
        <f t="shared" si="26"/>
        <v>12</v>
      </c>
      <c r="G67" s="12" t="str">
        <f t="shared" si="26"/>
        <v/>
      </c>
      <c r="H67" s="12">
        <f t="shared" si="26"/>
        <v>1.0009999999999999</v>
      </c>
      <c r="I67" s="12" t="str">
        <f t="shared" si="26"/>
        <v/>
      </c>
      <c r="J67" s="39">
        <f t="shared" si="26"/>
        <v>1.0009999999999999</v>
      </c>
      <c r="K67" s="12" t="str">
        <f t="shared" si="26"/>
        <v/>
      </c>
      <c r="L67" s="12" t="str">
        <f t="shared" si="26"/>
        <v/>
      </c>
      <c r="M67" s="12" t="str">
        <f t="shared" si="26"/>
        <v/>
      </c>
      <c r="N67" s="39" t="str">
        <f t="shared" si="26"/>
        <v/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13.000999999999999</v>
      </c>
    </row>
    <row r="68" spans="1:23" ht="18" x14ac:dyDescent="0.25">
      <c r="A68" s="28">
        <v>26</v>
      </c>
      <c r="B68" s="43" t="str">
        <f t="shared" si="18"/>
        <v>Febshy</v>
      </c>
      <c r="C68" s="12" t="str">
        <f t="shared" si="18"/>
        <v/>
      </c>
      <c r="D68" s="12">
        <f t="shared" ref="D68:W68" si="27">D32</f>
        <v>6</v>
      </c>
      <c r="E68" s="12" t="str">
        <f t="shared" si="27"/>
        <v/>
      </c>
      <c r="F68" s="39">
        <f t="shared" si="27"/>
        <v>6</v>
      </c>
      <c r="G68" s="12" t="str">
        <f t="shared" si="27"/>
        <v/>
      </c>
      <c r="H68" s="12">
        <f t="shared" si="27"/>
        <v>4</v>
      </c>
      <c r="I68" s="12" t="str">
        <f t="shared" si="27"/>
        <v/>
      </c>
      <c r="J68" s="39">
        <f t="shared" si="27"/>
        <v>4</v>
      </c>
      <c r="K68" s="12" t="str">
        <f t="shared" si="27"/>
        <v/>
      </c>
      <c r="L68" s="12" t="str">
        <f t="shared" si="27"/>
        <v/>
      </c>
      <c r="M68" s="12" t="str">
        <f t="shared" si="27"/>
        <v/>
      </c>
      <c r="N68" s="39" t="str">
        <f t="shared" si="27"/>
        <v/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 t="str">
        <f t="shared" si="27"/>
        <v/>
      </c>
      <c r="U68" s="12" t="str">
        <f t="shared" si="27"/>
        <v/>
      </c>
      <c r="V68" s="39" t="str">
        <f t="shared" si="27"/>
        <v/>
      </c>
      <c r="W68" s="24">
        <f t="shared" si="27"/>
        <v>10</v>
      </c>
    </row>
    <row r="69" spans="1:23" ht="18" x14ac:dyDescent="0.25">
      <c r="A69" s="28">
        <v>27</v>
      </c>
      <c r="B69" s="43" t="str">
        <f t="shared" si="18"/>
        <v>mattebenny</v>
      </c>
      <c r="C69" s="12" t="str">
        <f t="shared" si="18"/>
        <v/>
      </c>
      <c r="D69" s="12" t="str">
        <f t="shared" ref="D69:W69" si="28">D33</f>
        <v/>
      </c>
      <c r="E69" s="12" t="str">
        <f t="shared" si="28"/>
        <v/>
      </c>
      <c r="F69" s="39" t="str">
        <f t="shared" si="28"/>
        <v/>
      </c>
      <c r="G69" s="12" t="str">
        <f t="shared" si="28"/>
        <v/>
      </c>
      <c r="H69" s="12">
        <f t="shared" si="28"/>
        <v>10</v>
      </c>
      <c r="I69" s="12" t="str">
        <f t="shared" si="28"/>
        <v/>
      </c>
      <c r="J69" s="39">
        <f t="shared" si="28"/>
        <v>10</v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 t="str">
        <f t="shared" si="28"/>
        <v/>
      </c>
      <c r="Q69" s="12" t="str">
        <f t="shared" si="28"/>
        <v/>
      </c>
      <c r="R69" s="39" t="str">
        <f t="shared" si="28"/>
        <v/>
      </c>
      <c r="S69" s="12" t="str">
        <f t="shared" si="28"/>
        <v/>
      </c>
      <c r="T69" s="12" t="str">
        <f t="shared" si="28"/>
        <v/>
      </c>
      <c r="U69" s="12" t="str">
        <f t="shared" si="28"/>
        <v/>
      </c>
      <c r="V69" s="39" t="str">
        <f t="shared" si="28"/>
        <v/>
      </c>
      <c r="W69" s="24">
        <f t="shared" si="28"/>
        <v>10</v>
      </c>
    </row>
    <row r="70" spans="1:23" ht="18" x14ac:dyDescent="0.25">
      <c r="A70" s="28">
        <v>28</v>
      </c>
      <c r="B70" s="43" t="str">
        <f t="shared" si="18"/>
        <v>Asseemazz</v>
      </c>
      <c r="C70" s="12" t="str">
        <f t="shared" si="18"/>
        <v/>
      </c>
      <c r="D70" s="12">
        <f t="shared" ref="D70:W70" si="29">D34</f>
        <v>4</v>
      </c>
      <c r="E70" s="12" t="str">
        <f t="shared" si="29"/>
        <v/>
      </c>
      <c r="F70" s="39">
        <f t="shared" si="29"/>
        <v>4</v>
      </c>
      <c r="G70" s="12" t="str">
        <f t="shared" si="29"/>
        <v/>
      </c>
      <c r="H70" s="12" t="str">
        <f t="shared" si="29"/>
        <v/>
      </c>
      <c r="I70" s="12" t="str">
        <f t="shared" si="29"/>
        <v/>
      </c>
      <c r="J70" s="39" t="str">
        <f t="shared" si="29"/>
        <v/>
      </c>
      <c r="K70" s="12" t="str">
        <f t="shared" si="29"/>
        <v/>
      </c>
      <c r="L70" s="12" t="str">
        <f t="shared" si="29"/>
        <v/>
      </c>
      <c r="M70" s="12" t="str">
        <f t="shared" si="29"/>
        <v/>
      </c>
      <c r="N70" s="39" t="str">
        <f t="shared" si="29"/>
        <v/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4</v>
      </c>
    </row>
    <row r="71" spans="1:23" ht="18" x14ac:dyDescent="0.25">
      <c r="A71" s="28">
        <v>29</v>
      </c>
      <c r="B71" s="43" t="str">
        <f t="shared" si="18"/>
        <v>CTR_ocior-78</v>
      </c>
      <c r="C71" s="12" t="str">
        <f t="shared" si="18"/>
        <v/>
      </c>
      <c r="D71" s="12">
        <f t="shared" ref="D71:W71" si="30">D35</f>
        <v>2</v>
      </c>
      <c r="E71" s="12" t="str">
        <f t="shared" si="30"/>
        <v/>
      </c>
      <c r="F71" s="39">
        <f t="shared" si="30"/>
        <v>2</v>
      </c>
      <c r="G71" s="12" t="str">
        <f t="shared" si="30"/>
        <v/>
      </c>
      <c r="H71" s="12">
        <f t="shared" si="30"/>
        <v>2</v>
      </c>
      <c r="I71" s="12" t="str">
        <f t="shared" si="30"/>
        <v/>
      </c>
      <c r="J71" s="39">
        <f t="shared" si="30"/>
        <v>2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 t="str">
        <f t="shared" si="30"/>
        <v/>
      </c>
      <c r="P71" s="12" t="str">
        <f t="shared" si="30"/>
        <v/>
      </c>
      <c r="Q71" s="12" t="str">
        <f t="shared" si="30"/>
        <v/>
      </c>
      <c r="R71" s="39" t="str">
        <f t="shared" si="30"/>
        <v/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4</v>
      </c>
    </row>
    <row r="72" spans="1:23" ht="18" x14ac:dyDescent="0.25">
      <c r="A72" s="28">
        <v>30</v>
      </c>
      <c r="B72" s="43" t="str">
        <f t="shared" si="18"/>
        <v>Verce90</v>
      </c>
      <c r="C72" s="12" t="str">
        <f t="shared" si="18"/>
        <v/>
      </c>
      <c r="D72" s="12">
        <f t="shared" ref="D72:W72" si="31">D36</f>
        <v>1.01</v>
      </c>
      <c r="E72" s="12" t="str">
        <f t="shared" si="31"/>
        <v/>
      </c>
      <c r="F72" s="39">
        <f t="shared" si="31"/>
        <v>1.01</v>
      </c>
      <c r="G72" s="12" t="str">
        <f t="shared" si="31"/>
        <v/>
      </c>
      <c r="H72" s="12">
        <f t="shared" si="31"/>
        <v>1.01</v>
      </c>
      <c r="I72" s="12" t="str">
        <f t="shared" si="31"/>
        <v/>
      </c>
      <c r="J72" s="39">
        <f t="shared" si="31"/>
        <v>1.01</v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2.02</v>
      </c>
    </row>
    <row r="73" spans="1:23" ht="18" x14ac:dyDescent="0.25">
      <c r="A73" s="28">
        <v>31</v>
      </c>
      <c r="B73" s="43" t="str">
        <f t="shared" si="18"/>
        <v>Mikedb__91__</v>
      </c>
      <c r="C73" s="12" t="str">
        <f t="shared" si="18"/>
        <v/>
      </c>
      <c r="D73" s="12">
        <f t="shared" ref="D73:W73" si="32">D37</f>
        <v>1.0009999999999999</v>
      </c>
      <c r="E73" s="12" t="str">
        <f t="shared" si="32"/>
        <v/>
      </c>
      <c r="F73" s="39">
        <f t="shared" si="32"/>
        <v>1.0009999999999999</v>
      </c>
      <c r="G73" s="12" t="str">
        <f t="shared" si="32"/>
        <v/>
      </c>
      <c r="H73" s="12">
        <f t="shared" si="32"/>
        <v>1.0001</v>
      </c>
      <c r="I73" s="12" t="str">
        <f t="shared" si="32"/>
        <v/>
      </c>
      <c r="J73" s="39">
        <f t="shared" si="32"/>
        <v>1.0001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2.0011000000000001</v>
      </c>
    </row>
    <row r="74" spans="1:23" ht="18" x14ac:dyDescent="0.25">
      <c r="A74" s="28">
        <v>32</v>
      </c>
      <c r="B74" s="43" t="str">
        <f t="shared" si="18"/>
        <v>Chry-77</v>
      </c>
      <c r="C74" s="12" t="str">
        <f t="shared" si="18"/>
        <v/>
      </c>
      <c r="D74" s="12">
        <f t="shared" ref="D74:W74" si="33">D38</f>
        <v>1.0001</v>
      </c>
      <c r="E74" s="12" t="str">
        <f t="shared" si="33"/>
        <v/>
      </c>
      <c r="F74" s="39">
        <f t="shared" si="33"/>
        <v>1.0001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 t="str">
        <f t="shared" si="33"/>
        <v/>
      </c>
      <c r="M74" s="12" t="str">
        <f t="shared" si="33"/>
        <v/>
      </c>
      <c r="N74" s="39" t="str">
        <f t="shared" si="33"/>
        <v/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1.0001</v>
      </c>
    </row>
  </sheetData>
  <mergeCells count="18">
    <mergeCell ref="G41:J41"/>
    <mergeCell ref="K41:N41"/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16" t="s">
        <v>362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386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97" t="s">
        <v>19</v>
      </c>
      <c r="B3" s="97" t="s">
        <v>14</v>
      </c>
      <c r="C3" s="112" t="s">
        <v>363</v>
      </c>
      <c r="D3" s="112" t="s">
        <v>15</v>
      </c>
      <c r="E3" s="112" t="s">
        <v>424</v>
      </c>
      <c r="F3" s="105" t="s">
        <v>411</v>
      </c>
      <c r="G3" s="106"/>
      <c r="H3" s="106"/>
      <c r="I3" s="107"/>
      <c r="J3" s="105" t="s">
        <v>412</v>
      </c>
      <c r="K3" s="106"/>
      <c r="L3" s="106"/>
      <c r="M3" s="107"/>
      <c r="N3" s="105" t="s">
        <v>413</v>
      </c>
      <c r="O3" s="106"/>
      <c r="P3" s="106"/>
      <c r="Q3" s="107"/>
      <c r="R3" s="105" t="s">
        <v>414</v>
      </c>
      <c r="S3" s="106"/>
      <c r="T3" s="106"/>
      <c r="U3" s="107"/>
      <c r="V3" s="105" t="s">
        <v>415</v>
      </c>
      <c r="W3" s="106"/>
      <c r="X3" s="106"/>
      <c r="Y3" s="107"/>
      <c r="Z3" s="104" t="s">
        <v>33</v>
      </c>
    </row>
    <row r="4" spans="1:26" ht="27" x14ac:dyDescent="0.2">
      <c r="A4" s="97"/>
      <c r="B4" s="97"/>
      <c r="C4" s="113"/>
      <c r="D4" s="113"/>
      <c r="E4" s="113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4"/>
    </row>
    <row r="5" spans="1:26" ht="20" customHeight="1" x14ac:dyDescent="0.2">
      <c r="A5" s="99" t="s">
        <v>29</v>
      </c>
      <c r="B5" s="10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TLM_SKIZZO 34</v>
      </c>
      <c r="C6" s="67" t="str">
        <f>VLOOKUP(B6,nomi!B:C,2,FALSE)</f>
        <v>TLM_SKIZZO 34</v>
      </c>
      <c r="D6" s="67" t="str">
        <f>VLOOKUP(B6,nomi!B:G,6,FALSE)</f>
        <v>TLM</v>
      </c>
      <c r="E6" s="67">
        <f>VLOOKUP(B6,nomi!B:I,8,FALSE)</f>
        <v>34</v>
      </c>
      <c r="F6" s="12" t="str">
        <f>'CLASSIFICA ORDINATA'!C5</f>
        <v/>
      </c>
      <c r="G6" s="12">
        <f>'CLASSIFICA ORDINATA'!D5</f>
        <v>20</v>
      </c>
      <c r="H6" s="12">
        <f>'CLASSIFICA ORDINATA'!E5</f>
        <v>1</v>
      </c>
      <c r="I6" s="79">
        <f>'CLASSIFICA ORDINATA'!F5</f>
        <v>21</v>
      </c>
      <c r="J6" s="12" t="str">
        <f>'CLASSIFICA ORDINATA'!G5</f>
        <v/>
      </c>
      <c r="K6" s="12">
        <f>'CLASSIFICA ORDINATA'!H5</f>
        <v>20</v>
      </c>
      <c r="L6" s="12" t="str">
        <f>'CLASSIFICA ORDINATA'!I5</f>
        <v/>
      </c>
      <c r="M6" s="79">
        <f>'CLASSIFICA ORDINATA'!J5</f>
        <v>20</v>
      </c>
      <c r="N6" s="12" t="str">
        <f>'CLASSIFICA ORDINATA'!K5</f>
        <v/>
      </c>
      <c r="O6" s="12" t="str">
        <f>'CLASSIFICA ORDINATA'!L5</f>
        <v/>
      </c>
      <c r="P6" s="12" t="str">
        <f>'CLASSIFICA ORDINATA'!M5</f>
        <v/>
      </c>
      <c r="Q6" s="79" t="str">
        <f>'CLASSIFICA ORDINATA'!N5</f>
        <v/>
      </c>
      <c r="R6" s="12" t="str">
        <f>'CLASSIFICA ORDINATA'!O5</f>
        <v/>
      </c>
      <c r="S6" s="12" t="str">
        <f>'CLASSIFICA ORDINATA'!P5</f>
        <v/>
      </c>
      <c r="T6" s="12" t="str">
        <f>'CLASSIFICA ORDINATA'!Q5</f>
        <v/>
      </c>
      <c r="U6" s="79" t="str">
        <f>'CLASSIFICA ORDINATA'!R5</f>
        <v/>
      </c>
      <c r="V6" s="12" t="str">
        <f>'CLASSIFICA ORDINATA'!S5</f>
        <v/>
      </c>
      <c r="W6" s="12" t="str">
        <f>'CLASSIFICA ORDINATA'!T5</f>
        <v/>
      </c>
      <c r="X6" s="12" t="str">
        <f>'CLASSIFICA ORDINATA'!U5</f>
        <v/>
      </c>
      <c r="Y6" s="79" t="str">
        <f>'CLASSIFICA ORDINATA'!V5</f>
        <v/>
      </c>
      <c r="Z6" s="80">
        <f>'CLASSIFICA ORDINATA'!W5</f>
        <v>41</v>
      </c>
    </row>
    <row r="7" spans="1:26" ht="20" customHeight="1" x14ac:dyDescent="0.2">
      <c r="A7" s="69">
        <v>2</v>
      </c>
      <c r="B7" s="67" t="str">
        <f>'CLASSIFICA ORDINATA'!B6</f>
        <v>selpa974</v>
      </c>
      <c r="C7" s="67" t="str">
        <f>VLOOKUP(B7,nomi!B:C,2,FALSE)</f>
        <v>TLM_Selpa974_#88</v>
      </c>
      <c r="D7" s="67" t="str">
        <f>VLOOKUP(B7,nomi!B:G,6,FALSE)</f>
        <v>TLM</v>
      </c>
      <c r="E7" s="67">
        <f>VLOOKUP(B7,nomi!B:I,8,FALSE)</f>
        <v>88</v>
      </c>
      <c r="F7" s="12" t="str">
        <f>'CLASSIFICA ORDINATA'!C6</f>
        <v/>
      </c>
      <c r="G7" s="12">
        <f>'CLASSIFICA ORDINATA'!D6</f>
        <v>16</v>
      </c>
      <c r="H7" s="12" t="str">
        <f>'CLASSIFICA ORDINATA'!E6</f>
        <v/>
      </c>
      <c r="I7" s="79">
        <f>'CLASSIFICA ORDINATA'!F6</f>
        <v>16</v>
      </c>
      <c r="J7" s="12" t="str">
        <f>'CLASSIFICA ORDINATA'!G6</f>
        <v/>
      </c>
      <c r="K7" s="12">
        <f>'CLASSIFICA ORDINATA'!H6</f>
        <v>14</v>
      </c>
      <c r="L7" s="12">
        <f>'CLASSIFICA ORDINATA'!I6</f>
        <v>1</v>
      </c>
      <c r="M7" s="79">
        <f>'CLASSIFICA ORDINATA'!J6</f>
        <v>15</v>
      </c>
      <c r="N7" s="12" t="str">
        <f>'CLASSIFICA ORDINATA'!K6</f>
        <v/>
      </c>
      <c r="O7" s="12" t="str">
        <f>'CLASSIFICA ORDINATA'!L6</f>
        <v/>
      </c>
      <c r="P7" s="12" t="str">
        <f>'CLASSIFICA ORDINATA'!M6</f>
        <v/>
      </c>
      <c r="Q7" s="79" t="str">
        <f>'CLASSIFICA ORDINATA'!N6</f>
        <v/>
      </c>
      <c r="R7" s="12" t="str">
        <f>'CLASSIFICA ORDINATA'!O6</f>
        <v/>
      </c>
      <c r="S7" s="12" t="str">
        <f>'CLASSIFICA ORDINATA'!P6</f>
        <v/>
      </c>
      <c r="T7" s="12" t="str">
        <f>'CLASSIFICA ORDINATA'!Q6</f>
        <v/>
      </c>
      <c r="U7" s="79" t="str">
        <f>'CLASSIFICA ORDINATA'!R6</f>
        <v/>
      </c>
      <c r="V7" s="12" t="str">
        <f>'CLASSIFICA ORDINATA'!S6</f>
        <v/>
      </c>
      <c r="W7" s="12" t="str">
        <f>'CLASSIFICA ORDINATA'!T6</f>
        <v/>
      </c>
      <c r="X7" s="12" t="str">
        <f>'CLASSIFICA ORDINATA'!U6</f>
        <v/>
      </c>
      <c r="Y7" s="79" t="str">
        <f>'CLASSIFICA ORDINATA'!V6</f>
        <v/>
      </c>
      <c r="Z7" s="80">
        <f>'CLASSIFICA ORDINATA'!W6</f>
        <v>31</v>
      </c>
    </row>
    <row r="8" spans="1:26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67">
        <f>VLOOKUP(B8,nomi!B:I,8,FALSE)</f>
        <v>99</v>
      </c>
      <c r="F8" s="12" t="str">
        <f>'CLASSIFICA ORDINATA'!C7</f>
        <v/>
      </c>
      <c r="G8" s="12" t="str">
        <f>'CLASSIFICA ORDINATA'!D7</f>
        <v/>
      </c>
      <c r="H8" s="12" t="str">
        <f>'CLASSIFICA ORDINATA'!E7</f>
        <v/>
      </c>
      <c r="I8" s="79" t="str">
        <f>'CLASSIFICA ORDINATA'!F7</f>
        <v/>
      </c>
      <c r="J8" s="12">
        <f>'CLASSIFICA ORDINATA'!G7</f>
        <v>1</v>
      </c>
      <c r="K8" s="12">
        <f>'CLASSIFICA ORDINATA'!H7</f>
        <v>25</v>
      </c>
      <c r="L8" s="12" t="str">
        <f>'CLASSIFICA ORDINATA'!I7</f>
        <v/>
      </c>
      <c r="M8" s="79">
        <f>'CLASSIFICA ORDINATA'!J7</f>
        <v>26</v>
      </c>
      <c r="N8" s="12" t="str">
        <f>'CLASSIFICA ORDINATA'!K7</f>
        <v/>
      </c>
      <c r="O8" s="12" t="str">
        <f>'CLASSIFICA ORDINATA'!L7</f>
        <v/>
      </c>
      <c r="P8" s="12" t="str">
        <f>'CLASSIFICA ORDINATA'!M7</f>
        <v/>
      </c>
      <c r="Q8" s="79" t="str">
        <f>'CLASSIFICA ORDINATA'!N7</f>
        <v/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 t="str">
        <f>'CLASSIFICA ORDINATA'!T7</f>
        <v/>
      </c>
      <c r="X8" s="12" t="str">
        <f>'CLASSIFICA ORDINATA'!U7</f>
        <v/>
      </c>
      <c r="Y8" s="79" t="str">
        <f>'CLASSIFICA ORDINATA'!V7</f>
        <v/>
      </c>
      <c r="Z8" s="80">
        <f>'CLASSIFICA ORDINATA'!W7</f>
        <v>26</v>
      </c>
    </row>
    <row r="9" spans="1:26" ht="20" customHeight="1" x14ac:dyDescent="0.2">
      <c r="A9" s="71">
        <v>4</v>
      </c>
      <c r="B9" s="67" t="str">
        <f>'CLASSIFICA ORDINATA'!B8</f>
        <v>Patanel86</v>
      </c>
      <c r="C9" s="67" t="str">
        <f>VLOOKUP(B9,nomi!B:C,2,FALSE)</f>
        <v>TLM_PataneL86</v>
      </c>
      <c r="D9" s="67" t="str">
        <f>VLOOKUP(B9,nomi!B:G,6,FALSE)</f>
        <v>TLM</v>
      </c>
      <c r="E9" s="67">
        <f>VLOOKUP(B9,nomi!B:I,8,FALSE)</f>
        <v>10</v>
      </c>
      <c r="F9" s="12">
        <f>'CLASSIFICA ORDINATA'!C8</f>
        <v>1</v>
      </c>
      <c r="G9" s="12">
        <f>'CLASSIFICA ORDINATA'!D8</f>
        <v>25</v>
      </c>
      <c r="H9" s="12" t="str">
        <f>'CLASSIFICA ORDINATA'!E8</f>
        <v/>
      </c>
      <c r="I9" s="79">
        <f>'CLASSIFICA ORDINATA'!F8</f>
        <v>26</v>
      </c>
      <c r="J9" s="12" t="str">
        <f>'CLASSIFICA ORDINATA'!G8</f>
        <v/>
      </c>
      <c r="K9" s="12" t="str">
        <f>'CLASSIFICA ORDINATA'!H8</f>
        <v/>
      </c>
      <c r="L9" s="12" t="str">
        <f>'CLASSIFICA ORDINATA'!I8</f>
        <v/>
      </c>
      <c r="M9" s="79" t="str">
        <f>'CLASSIFICA ORDINATA'!J8</f>
        <v/>
      </c>
      <c r="N9" s="12" t="str">
        <f>'CLASSIFICA ORDINATA'!K8</f>
        <v/>
      </c>
      <c r="O9" s="12" t="str">
        <f>'CLASSIFICA ORDINATA'!L8</f>
        <v/>
      </c>
      <c r="P9" s="12" t="str">
        <f>'CLASSIFICA ORDINATA'!M8</f>
        <v/>
      </c>
      <c r="Q9" s="79" t="str">
        <f>'CLASSIFICA ORDINATA'!N8</f>
        <v/>
      </c>
      <c r="R9" s="12" t="str">
        <f>'CLASSIFICA ORDINATA'!O8</f>
        <v/>
      </c>
      <c r="S9" s="12" t="str">
        <f>'CLASSIFICA ORDINATA'!P8</f>
        <v/>
      </c>
      <c r="T9" s="12" t="str">
        <f>'CLASSIFICA ORDINATA'!Q8</f>
        <v/>
      </c>
      <c r="U9" s="79" t="str">
        <f>'CLASSIFICA ORDINATA'!R8</f>
        <v/>
      </c>
      <c r="V9" s="12" t="str">
        <f>'CLASSIFICA ORDINATA'!S8</f>
        <v/>
      </c>
      <c r="W9" s="12" t="str">
        <f>'CLASSIFICA ORDINATA'!T8</f>
        <v/>
      </c>
      <c r="X9" s="12" t="str">
        <f>'CLASSIFICA ORDINATA'!U8</f>
        <v/>
      </c>
      <c r="Y9" s="79" t="str">
        <f>'CLASSIFICA ORDINATA'!V8</f>
        <v/>
      </c>
      <c r="Z9" s="80">
        <f>'CLASSIFICA ORDINATA'!W8</f>
        <v>26</v>
      </c>
    </row>
    <row r="10" spans="1:26" ht="20" customHeight="1" x14ac:dyDescent="0.2">
      <c r="A10" s="71">
        <v>5</v>
      </c>
      <c r="B10" s="67" t="str">
        <f>'CLASSIFICA ORDINATA'!B9</f>
        <v>Rupetheking</v>
      </c>
      <c r="C10" s="67" t="str">
        <f>VLOOKUP(B10,nomi!B:C,2,FALSE)</f>
        <v xml:space="preserve">Tlm-rupetheking </v>
      </c>
      <c r="D10" s="67" t="str">
        <f>VLOOKUP(B10,nomi!B:G,6,FALSE)</f>
        <v>TLM</v>
      </c>
      <c r="E10" s="67">
        <f>VLOOKUP(B10,nomi!B:I,8,FALSE)</f>
        <v>44</v>
      </c>
      <c r="F10" s="12" t="str">
        <f>'CLASSIFICA ORDINATA'!C9</f>
        <v/>
      </c>
      <c r="G10" s="12">
        <f>'CLASSIFICA ORDINATA'!D9</f>
        <v>18</v>
      </c>
      <c r="H10" s="12" t="str">
        <f>'CLASSIFICA ORDINATA'!E9</f>
        <v/>
      </c>
      <c r="I10" s="79">
        <f>'CLASSIFICA ORDINATA'!F9</f>
        <v>18</v>
      </c>
      <c r="J10" s="12" t="str">
        <f>'CLASSIFICA ORDINATA'!G9</f>
        <v/>
      </c>
      <c r="K10" s="12">
        <f>'CLASSIFICA ORDINATA'!H9</f>
        <v>4</v>
      </c>
      <c r="L10" s="12" t="str">
        <f>'CLASSIFICA ORDINATA'!I9</f>
        <v/>
      </c>
      <c r="M10" s="79">
        <f>'CLASSIFICA ORDINATA'!J9</f>
        <v>4</v>
      </c>
      <c r="N10" s="12" t="str">
        <f>'CLASSIFICA ORDINATA'!K9</f>
        <v/>
      </c>
      <c r="O10" s="12" t="str">
        <f>'CLASSIFICA ORDINATA'!L9</f>
        <v/>
      </c>
      <c r="P10" s="12" t="str">
        <f>'CLASSIFICA ORDINATA'!M9</f>
        <v/>
      </c>
      <c r="Q10" s="79" t="str">
        <f>'CLASSIFICA ORDINATA'!N9</f>
        <v/>
      </c>
      <c r="R10" s="12" t="str">
        <f>'CLASSIFICA ORDINATA'!O9</f>
        <v/>
      </c>
      <c r="S10" s="12" t="str">
        <f>'CLASSIFICA ORDINATA'!P9</f>
        <v/>
      </c>
      <c r="T10" s="12" t="str">
        <f>'CLASSIFICA ORDINATA'!Q9</f>
        <v/>
      </c>
      <c r="U10" s="79" t="str">
        <f>'CLASSIFICA ORDINATA'!R9</f>
        <v/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22</v>
      </c>
    </row>
    <row r="11" spans="1:26" ht="20" customHeight="1" x14ac:dyDescent="0.2">
      <c r="A11" s="71">
        <v>6</v>
      </c>
      <c r="B11" s="67" t="str">
        <f>'CLASSIFICA ORDINATA'!B10</f>
        <v>Bobgre93</v>
      </c>
      <c r="C11" s="67" t="str">
        <f>VLOOKUP(B11,nomi!B:C,2,FALSE)</f>
        <v>TLM_BobGre93</v>
      </c>
      <c r="D11" s="67" t="str">
        <f>VLOOKUP(B11,nomi!B:G,6,FALSE)</f>
        <v>TLM</v>
      </c>
      <c r="E11" s="67">
        <f>VLOOKUP(B11,nomi!B:I,8,FALSE)</f>
        <v>112</v>
      </c>
      <c r="F11" s="12" t="str">
        <f>'CLASSIFICA ORDINATA'!C10</f>
        <v/>
      </c>
      <c r="G11" s="12" t="str">
        <f>'CLASSIFICA ORDINATA'!D10</f>
        <v/>
      </c>
      <c r="H11" s="12" t="str">
        <f>'CLASSIFICA ORDINATA'!E10</f>
        <v/>
      </c>
      <c r="I11" s="79" t="str">
        <f>'CLASSIFICA ORDINATA'!F10</f>
        <v/>
      </c>
      <c r="J11" s="12" t="str">
        <f>'CLASSIFICA ORDINATA'!G10</f>
        <v/>
      </c>
      <c r="K11" s="12">
        <f>'CLASSIFICA ORDINATA'!H10</f>
        <v>18</v>
      </c>
      <c r="L11" s="12" t="str">
        <f>'CLASSIFICA ORDINATA'!I10</f>
        <v/>
      </c>
      <c r="M11" s="79">
        <f>'CLASSIFICA ORDINATA'!J10</f>
        <v>18</v>
      </c>
      <c r="N11" s="12" t="str">
        <f>'CLASSIFICA ORDINATA'!K10</f>
        <v/>
      </c>
      <c r="O11" s="12" t="str">
        <f>'CLASSIFICA ORDINATA'!L10</f>
        <v/>
      </c>
      <c r="P11" s="12" t="str">
        <f>'CLASSIFICA ORDINATA'!M10</f>
        <v/>
      </c>
      <c r="Q11" s="79" t="str">
        <f>'CLASSIFICA ORDINATA'!N10</f>
        <v/>
      </c>
      <c r="R11" s="12" t="str">
        <f>'CLASSIFICA ORDINATA'!O10</f>
        <v/>
      </c>
      <c r="S11" s="12" t="str">
        <f>'CLASSIFICA ORDINATA'!P10</f>
        <v/>
      </c>
      <c r="T11" s="12" t="str">
        <f>'CLASSIFICA ORDINATA'!Q10</f>
        <v/>
      </c>
      <c r="U11" s="79" t="str">
        <f>'CLASSIFICA ORDINATA'!R10</f>
        <v/>
      </c>
      <c r="V11" s="12" t="str">
        <f>'CLASSIFICA ORDINATA'!S10</f>
        <v/>
      </c>
      <c r="W11" s="12" t="str">
        <f>'CLASSIFICA ORDINATA'!T10</f>
        <v/>
      </c>
      <c r="X11" s="12" t="str">
        <f>'CLASSIFICA ORDINATA'!U10</f>
        <v/>
      </c>
      <c r="Y11" s="79" t="str">
        <f>'CLASSIFICA ORDINATA'!V10</f>
        <v/>
      </c>
      <c r="Z11" s="80">
        <f>'CLASSIFICA ORDINATA'!W10</f>
        <v>18</v>
      </c>
    </row>
    <row r="12" spans="1:26" ht="20" customHeight="1" x14ac:dyDescent="0.2">
      <c r="A12" s="71">
        <v>7</v>
      </c>
      <c r="B12" s="67" t="str">
        <f>'CLASSIFICA ORDINATA'!B11</f>
        <v>xRUA85x</v>
      </c>
      <c r="C12" s="67" t="str">
        <f>VLOOKUP(B12,nomi!B:C,2,FALSE)</f>
        <v>TLM_Le Rua’</v>
      </c>
      <c r="D12" s="67" t="str">
        <f>VLOOKUP(B12,nomi!B:G,6,FALSE)</f>
        <v>TLM</v>
      </c>
      <c r="E12" s="67">
        <f>VLOOKUP(B12,nomi!B:I,8,FALSE)</f>
        <v>85</v>
      </c>
      <c r="F12" s="12" t="str">
        <f>'CLASSIFICA ORDINATA'!C11</f>
        <v/>
      </c>
      <c r="G12" s="12">
        <f>'CLASSIFICA ORDINATA'!D11</f>
        <v>12</v>
      </c>
      <c r="H12" s="12" t="str">
        <f>'CLASSIFICA ORDINATA'!E11</f>
        <v/>
      </c>
      <c r="I12" s="79">
        <f>'CLASSIFICA ORDINATA'!F11</f>
        <v>12</v>
      </c>
      <c r="J12" s="12" t="str">
        <f>'CLASSIFICA ORDINATA'!G11</f>
        <v/>
      </c>
      <c r="K12" s="12">
        <f>'CLASSIFICA ORDINATA'!H11</f>
        <v>6</v>
      </c>
      <c r="L12" s="12" t="str">
        <f>'CLASSIFICA ORDINATA'!I11</f>
        <v/>
      </c>
      <c r="M12" s="79">
        <f>'CLASSIFICA ORDINATA'!J11</f>
        <v>6</v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 t="str">
        <f>'CLASSIFICA ORDINATA'!P11</f>
        <v/>
      </c>
      <c r="T12" s="12" t="str">
        <f>'CLASSIFICA ORDINATA'!Q11</f>
        <v/>
      </c>
      <c r="U12" s="79" t="str">
        <f>'CLASSIFICA ORDINATA'!R11</f>
        <v/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18</v>
      </c>
    </row>
    <row r="13" spans="1:26" ht="20" customHeight="1" x14ac:dyDescent="0.2">
      <c r="A13" s="71">
        <v>8</v>
      </c>
      <c r="B13" s="67" t="str">
        <f>'CLASSIFICA ORDINATA'!B12</f>
        <v>mattebenny</v>
      </c>
      <c r="C13" s="67" t="str">
        <f>VLOOKUP(B13,nomi!B:C,2,FALSE)</f>
        <v>Benny89</v>
      </c>
      <c r="D13" s="67" t="str">
        <f>VLOOKUP(B13,nomi!B:G,6,FALSE)</f>
        <v>TLM</v>
      </c>
      <c r="E13" s="67">
        <f>VLOOKUP(B13,nomi!B:I,8,FALSE)</f>
        <v>89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9" t="str">
        <f>'CLASSIFICA ORDINATA'!F12</f>
        <v/>
      </c>
      <c r="J13" s="12" t="str">
        <f>'CLASSIFICA ORDINATA'!G12</f>
        <v/>
      </c>
      <c r="K13" s="12">
        <f>'CLASSIFICA ORDINATA'!H12</f>
        <v>16</v>
      </c>
      <c r="L13" s="12" t="str">
        <f>'CLASSIFICA ORDINATA'!I12</f>
        <v/>
      </c>
      <c r="M13" s="79">
        <f>'CLASSIFICA ORDINATA'!J12</f>
        <v>16</v>
      </c>
      <c r="N13" s="12" t="str">
        <f>'CLASSIFICA ORDINATA'!K12</f>
        <v/>
      </c>
      <c r="O13" s="12" t="str">
        <f>'CLASSIFICA ORDINATA'!L12</f>
        <v/>
      </c>
      <c r="P13" s="12" t="str">
        <f>'CLASSIFICA ORDINATA'!M12</f>
        <v/>
      </c>
      <c r="Q13" s="79" t="str">
        <f>'CLASSIFICA ORDINATA'!N12</f>
        <v/>
      </c>
      <c r="R13" s="12" t="str">
        <f>'CLASSIFICA ORDINATA'!O12</f>
        <v/>
      </c>
      <c r="S13" s="12" t="str">
        <f>'CLASSIFICA ORDINATA'!P12</f>
        <v/>
      </c>
      <c r="T13" s="12" t="str">
        <f>'CLASSIFICA ORDINATA'!Q12</f>
        <v/>
      </c>
      <c r="U13" s="79" t="str">
        <f>'CLASSIFICA ORDINATA'!R12</f>
        <v/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16</v>
      </c>
    </row>
    <row r="14" spans="1:26" ht="20" customHeight="1" x14ac:dyDescent="0.2">
      <c r="A14" s="71">
        <v>9</v>
      </c>
      <c r="B14" s="67" t="str">
        <f>'CLASSIFICA ORDINATA'!B13</f>
        <v>Silentium884</v>
      </c>
      <c r="C14" s="67" t="str">
        <f>VLOOKUP(B14,nomi!B:C,2,FALSE)</f>
        <v>TLM_Sile</v>
      </c>
      <c r="D14" s="67" t="str">
        <f>VLOOKUP(B14,nomi!B:G,6,FALSE)</f>
        <v>TLM</v>
      </c>
      <c r="E14" s="67">
        <f>VLOOKUP(B14,nomi!B:I,8,FALSE)</f>
        <v>81</v>
      </c>
      <c r="F14" s="12" t="str">
        <f>'CLASSIFICA ORDINATA'!C13</f>
        <v/>
      </c>
      <c r="G14" s="12">
        <f>'CLASSIFICA ORDINATA'!D13</f>
        <v>14</v>
      </c>
      <c r="H14" s="12" t="str">
        <f>'CLASSIFICA ORDINATA'!E13</f>
        <v/>
      </c>
      <c r="I14" s="79">
        <f>'CLASSIFICA ORDINATA'!F13</f>
        <v>14</v>
      </c>
      <c r="J14" s="12" t="str">
        <f>'CLASSIFICA ORDINATA'!G13</f>
        <v/>
      </c>
      <c r="K14" s="12">
        <f>'CLASSIFICA ORDINATA'!H13</f>
        <v>1.01</v>
      </c>
      <c r="L14" s="12" t="str">
        <f>'CLASSIFICA ORDINATA'!I13</f>
        <v/>
      </c>
      <c r="M14" s="79">
        <f>'CLASSIFICA ORDINATA'!J13</f>
        <v>1.01</v>
      </c>
      <c r="N14" s="12" t="str">
        <f>'CLASSIFICA ORDINATA'!K13</f>
        <v/>
      </c>
      <c r="O14" s="12" t="str">
        <f>'CLASSIFICA ORDINATA'!L13</f>
        <v/>
      </c>
      <c r="P14" s="12" t="str">
        <f>'CLASSIFICA ORDINATA'!M13</f>
        <v/>
      </c>
      <c r="Q14" s="79" t="str">
        <f>'CLASSIFICA ORDINATA'!N13</f>
        <v/>
      </c>
      <c r="R14" s="12" t="str">
        <f>'CLASSIFICA ORDINATA'!O13</f>
        <v/>
      </c>
      <c r="S14" s="12" t="str">
        <f>'CLASSIFICA ORDINATA'!P13</f>
        <v/>
      </c>
      <c r="T14" s="12" t="str">
        <f>'CLASSIFICA ORDINATA'!Q13</f>
        <v/>
      </c>
      <c r="U14" s="79" t="str">
        <f>'CLASSIFICA ORDINATA'!R13</f>
        <v/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15.01</v>
      </c>
    </row>
    <row r="15" spans="1:26" ht="20" customHeight="1" x14ac:dyDescent="0.2">
      <c r="A15" s="71">
        <v>10</v>
      </c>
      <c r="B15" s="67" t="str">
        <f>'CLASSIFICA ORDINATA'!B14</f>
        <v>Liotru1979</v>
      </c>
      <c r="C15" s="67" t="str">
        <f>VLOOKUP(B15,nomi!B:C,2,FALSE)</f>
        <v xml:space="preserve">TLM Max </v>
      </c>
      <c r="D15" s="67" t="str">
        <f>VLOOKUP(B15,nomi!B:G,6,FALSE)</f>
        <v>TLM</v>
      </c>
      <c r="E15" s="67">
        <f>VLOOKUP(B15,nomi!B:I,8,FALSE)</f>
        <v>79</v>
      </c>
      <c r="F15" s="12" t="str">
        <f>'CLASSIFICA ORDINATA'!C14</f>
        <v/>
      </c>
      <c r="G15" s="12">
        <f>'CLASSIFICA ORDINATA'!D14</f>
        <v>1.0009999999999999</v>
      </c>
      <c r="H15" s="12" t="str">
        <f>'CLASSIFICA ORDINATA'!E14</f>
        <v/>
      </c>
      <c r="I15" s="79">
        <f>'CLASSIFICA ORDINATA'!F14</f>
        <v>1.0009999999999999</v>
      </c>
      <c r="J15" s="12" t="str">
        <f>'CLASSIFICA ORDINATA'!G14</f>
        <v/>
      </c>
      <c r="K15" s="12">
        <f>'CLASSIFICA ORDINATA'!H14</f>
        <v>12</v>
      </c>
      <c r="L15" s="12" t="str">
        <f>'CLASSIFICA ORDINATA'!I14</f>
        <v/>
      </c>
      <c r="M15" s="79">
        <f>'CLASSIFICA ORDINATA'!J14</f>
        <v>12</v>
      </c>
      <c r="N15" s="12" t="str">
        <f>'CLASSIFICA ORDINATA'!K14</f>
        <v/>
      </c>
      <c r="O15" s="12" t="str">
        <f>'CLASSIFICA ORDINATA'!L14</f>
        <v/>
      </c>
      <c r="P15" s="12" t="str">
        <f>'CLASSIFICA ORDINATA'!M14</f>
        <v/>
      </c>
      <c r="Q15" s="79" t="str">
        <f>'CLASSIFICA ORDINATA'!N14</f>
        <v/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 t="str">
        <f>'CLASSIFICA ORDINATA'!T14</f>
        <v/>
      </c>
      <c r="X15" s="12" t="str">
        <f>'CLASSIFICA ORDINATA'!U14</f>
        <v/>
      </c>
      <c r="Y15" s="79" t="str">
        <f>'CLASSIFICA ORDINATA'!V14</f>
        <v/>
      </c>
      <c r="Z15" s="80">
        <f>'CLASSIFICA ORDINATA'!W14</f>
        <v>13.000999999999999</v>
      </c>
    </row>
    <row r="16" spans="1:26" ht="20" customHeight="1" x14ac:dyDescent="0.2">
      <c r="A16" s="71">
        <v>11</v>
      </c>
      <c r="B16" s="67" t="str">
        <f>'CLASSIFICA ORDINATA'!B15</f>
        <v>TheGuarny</v>
      </c>
      <c r="C16" s="67" t="str">
        <f>VLOOKUP(B16,nomi!B:C,2,FALSE)</f>
        <v>TLM_TheGuarny</v>
      </c>
      <c r="D16" s="67" t="str">
        <f>VLOOKUP(B16,nomi!B:G,6,FALSE)</f>
        <v>TLM</v>
      </c>
      <c r="E16" s="67">
        <f>VLOOKUP(B16,nomi!B:I,8,FALSE)</f>
        <v>92</v>
      </c>
      <c r="F16" s="12" t="str">
        <f>'CLASSIFICA ORDINATA'!C15</f>
        <v/>
      </c>
      <c r="G16" s="12" t="str">
        <f>'CLASSIFICA ORDINATA'!D15</f>
        <v/>
      </c>
      <c r="H16" s="12" t="str">
        <f>'CLASSIFICA ORDINATA'!E15</f>
        <v/>
      </c>
      <c r="I16" s="79" t="str">
        <f>'CLASSIFICA ORDINATA'!F15</f>
        <v/>
      </c>
      <c r="J16" s="12" t="str">
        <f>'CLASSIFICA ORDINATA'!G15</f>
        <v/>
      </c>
      <c r="K16" s="12">
        <f>'CLASSIFICA ORDINATA'!H15</f>
        <v>10</v>
      </c>
      <c r="L16" s="12" t="str">
        <f>'CLASSIFICA ORDINATA'!I15</f>
        <v/>
      </c>
      <c r="M16" s="79">
        <f>'CLASSIFICA ORDINATA'!J15</f>
        <v>10</v>
      </c>
      <c r="N16" s="12" t="str">
        <f>'CLASSIFICA ORDINATA'!K15</f>
        <v/>
      </c>
      <c r="O16" s="12" t="str">
        <f>'CLASSIFICA ORDINATA'!L15</f>
        <v/>
      </c>
      <c r="P16" s="12" t="str">
        <f>'CLASSIFICA ORDINATA'!M15</f>
        <v/>
      </c>
      <c r="Q16" s="79" t="str">
        <f>'CLASSIFICA ORDINATA'!N15</f>
        <v/>
      </c>
      <c r="R16" s="12" t="str">
        <f>'CLASSIFICA ORDINATA'!O15</f>
        <v/>
      </c>
      <c r="S16" s="12" t="str">
        <f>'CLASSIFICA ORDINATA'!P15</f>
        <v/>
      </c>
      <c r="T16" s="12" t="str">
        <f>'CLASSIFICA ORDINATA'!Q15</f>
        <v/>
      </c>
      <c r="U16" s="79" t="str">
        <f>'CLASSIFICA ORDINATA'!R15</f>
        <v/>
      </c>
      <c r="V16" s="12" t="str">
        <f>'CLASSIFICA ORDINATA'!S15</f>
        <v/>
      </c>
      <c r="W16" s="12" t="str">
        <f>'CLASSIFICA ORDINATA'!T15</f>
        <v/>
      </c>
      <c r="X16" s="12" t="str">
        <f>'CLASSIFICA ORDINATA'!U15</f>
        <v/>
      </c>
      <c r="Y16" s="79" t="str">
        <f>'CLASSIFICA ORDINATA'!V15</f>
        <v/>
      </c>
      <c r="Z16" s="80">
        <f>'CLASSIFICA ORDINATA'!W15</f>
        <v>10</v>
      </c>
    </row>
    <row r="17" spans="1:16353" ht="20" customHeight="1" x14ac:dyDescent="0.2">
      <c r="A17" s="71">
        <v>12</v>
      </c>
      <c r="B17" s="67" t="str">
        <f>'CLASSIFICA ORDINATA'!B16</f>
        <v>Ulix1990</v>
      </c>
      <c r="C17" s="67" t="str">
        <f>VLOOKUP(B17,nomi!B:C,2,FALSE)</f>
        <v>TLM_Ulix1990*</v>
      </c>
      <c r="D17" s="67" t="str">
        <f>VLOOKUP(B17,nomi!B:G,6,FALSE)</f>
        <v>TLM</v>
      </c>
      <c r="E17" s="67">
        <f>VLOOKUP(B17,nomi!B:I,8,FALSE)</f>
        <v>22</v>
      </c>
      <c r="F17" s="12" t="str">
        <f>'CLASSIFICA ORDINATA'!C16</f>
        <v/>
      </c>
      <c r="G17" s="12">
        <f>'CLASSIFICA ORDINATA'!D16</f>
        <v>10</v>
      </c>
      <c r="H17" s="12" t="str">
        <f>'CLASSIFICA ORDINATA'!E16</f>
        <v/>
      </c>
      <c r="I17" s="79">
        <f>'CLASSIFICA ORDINATA'!F16</f>
        <v>10</v>
      </c>
      <c r="J17" s="12" t="str">
        <f>'CLASSIFICA ORDINATA'!G16</f>
        <v/>
      </c>
      <c r="K17" s="12" t="str">
        <f>'CLASSIFICA ORDINATA'!H16</f>
        <v/>
      </c>
      <c r="L17" s="12" t="str">
        <f>'CLASSIFICA ORDINATA'!I16</f>
        <v/>
      </c>
      <c r="M17" s="79" t="str">
        <f>'CLASSIFICA ORDINATA'!J16</f>
        <v/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10</v>
      </c>
    </row>
    <row r="18" spans="1:16353" ht="20" customHeight="1" x14ac:dyDescent="0.2">
      <c r="A18" s="71">
        <v>13</v>
      </c>
      <c r="B18" s="67" t="str">
        <f>'CLASSIFICA ORDINATA'!B17</f>
        <v>TLM_wid83</v>
      </c>
      <c r="C18" s="67" t="str">
        <f>VLOOKUP(B18,nomi!B:C,2,FALSE)</f>
        <v>TLM_wid83</v>
      </c>
      <c r="D18" s="67" t="str">
        <f>VLOOKUP(B18,nomi!B:G,6,FALSE)</f>
        <v>TLM</v>
      </c>
      <c r="E18" s="67">
        <f>VLOOKUP(B18,nomi!B:I,8,FALSE)</f>
        <v>23</v>
      </c>
      <c r="F18" s="12" t="str">
        <f>'CLASSIFICA ORDINATA'!C17</f>
        <v/>
      </c>
      <c r="G18" s="12">
        <f>'CLASSIFICA ORDINATA'!D17</f>
        <v>6</v>
      </c>
      <c r="H18" s="12" t="str">
        <f>'CLASSIFICA ORDINATA'!E17</f>
        <v/>
      </c>
      <c r="I18" s="79">
        <f>'CLASSIFICA ORDINATA'!F17</f>
        <v>6</v>
      </c>
      <c r="J18" s="12" t="str">
        <f>'CLASSIFICA ORDINATA'!G17</f>
        <v/>
      </c>
      <c r="K18" s="12">
        <f>'CLASSIFICA ORDINATA'!H17</f>
        <v>2</v>
      </c>
      <c r="L18" s="12" t="str">
        <f>'CLASSIFICA ORDINATA'!I17</f>
        <v/>
      </c>
      <c r="M18" s="79">
        <f>'CLASSIFICA ORDINATA'!J17</f>
        <v>2</v>
      </c>
      <c r="N18" s="12" t="str">
        <f>'CLASSIFICA ORDINATA'!K17</f>
        <v/>
      </c>
      <c r="O18" s="12" t="str">
        <f>'CLASSIFICA ORDINATA'!L17</f>
        <v/>
      </c>
      <c r="P18" s="12" t="str">
        <f>'CLASSIFICA ORDINATA'!M17</f>
        <v/>
      </c>
      <c r="Q18" s="79" t="str">
        <f>'CLASSIFICA ORDINATA'!N17</f>
        <v/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8</v>
      </c>
    </row>
    <row r="19" spans="1:16353" ht="20" customHeight="1" x14ac:dyDescent="0.2">
      <c r="A19" s="71">
        <v>14</v>
      </c>
      <c r="B19" s="67" t="str">
        <f>'CLASSIFICA ORDINATA'!B18</f>
        <v>TLM_Kappa</v>
      </c>
      <c r="C19" s="67" t="str">
        <f>VLOOKUP(B19,nomi!B:C,2,FALSE)</f>
        <v>TLM_Kappa</v>
      </c>
      <c r="D19" s="67" t="str">
        <f>VLOOKUP(B19,nomi!B:G,6,FALSE)</f>
        <v>TLM</v>
      </c>
      <c r="E19" s="67">
        <f>VLOOKUP(B19,nomi!B:I,8,FALSE)</f>
        <v>53</v>
      </c>
      <c r="F19" s="12" t="str">
        <f>'CLASSIFICA ORDINATA'!C18</f>
        <v/>
      </c>
      <c r="G19" s="12">
        <f>'CLASSIFICA ORDINATA'!D18</f>
        <v>4</v>
      </c>
      <c r="H19" s="12" t="str">
        <f>'CLASSIFICA ORDINATA'!E18</f>
        <v/>
      </c>
      <c r="I19" s="79">
        <f>'CLASSIFICA ORDINATA'!F18</f>
        <v>4</v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4</v>
      </c>
    </row>
    <row r="20" spans="1:16353" ht="20" customHeight="1" x14ac:dyDescent="0.2">
      <c r="A20" s="71">
        <v>15</v>
      </c>
      <c r="B20" s="67" t="str">
        <f>'CLASSIFICA ORDINATA'!B19</f>
        <v>Isnotacrime</v>
      </c>
      <c r="C20" s="67" t="str">
        <f>VLOOKUP(B20,nomi!B:C,2,FALSE)</f>
        <v xml:space="preserve">TLM isnotacrime </v>
      </c>
      <c r="D20" s="67" t="str">
        <f>VLOOKUP(B20,nomi!B:G,6,FALSE)</f>
        <v>TLM</v>
      </c>
      <c r="E20" s="88">
        <f>VLOOKUP(B20,nomi!B:I,8,FALSE)</f>
        <v>13</v>
      </c>
      <c r="F20" s="12" t="str">
        <f>'CLASSIFICA ORDINATA'!C19</f>
        <v/>
      </c>
      <c r="G20" s="12">
        <f>'CLASSIFICA ORDINATA'!D19</f>
        <v>2</v>
      </c>
      <c r="H20" s="12" t="str">
        <f>'CLASSIFICA ORDINATA'!E19</f>
        <v/>
      </c>
      <c r="I20" s="79">
        <f>'CLASSIFICA ORDINATA'!F19</f>
        <v>2</v>
      </c>
      <c r="J20" s="12" t="str">
        <f>'CLASSIFICA ORDINATA'!G19</f>
        <v/>
      </c>
      <c r="K20" s="12">
        <f>'CLASSIFICA ORDINATA'!H19</f>
        <v>1.0009999999999999</v>
      </c>
      <c r="L20" s="12" t="str">
        <f>'CLASSIFICA ORDINATA'!I19</f>
        <v/>
      </c>
      <c r="M20" s="79">
        <f>'CLASSIFICA ORDINATA'!J19</f>
        <v>1.0009999999999999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3.0009999999999999</v>
      </c>
    </row>
    <row r="21" spans="1:16353" ht="20" customHeight="1" x14ac:dyDescent="0.25">
      <c r="A21" s="71">
        <v>16</v>
      </c>
      <c r="B21" s="67" t="str">
        <f>'CLASSIFICA ORDINATA'!B20</f>
        <v>Verce90</v>
      </c>
      <c r="C21" s="67" t="str">
        <f>VLOOKUP(B21,nomi!B:C,2,FALSE)</f>
        <v>TLM Verce90</v>
      </c>
      <c r="D21" s="90" t="str">
        <f>VLOOKUP(B21,nomi!B:G,6,FALSE)</f>
        <v>TLM</v>
      </c>
      <c r="E21" s="92">
        <f>VLOOKUP(B21,nomi!B:I,8,FALSE)</f>
        <v>25</v>
      </c>
      <c r="F21" s="91" t="str">
        <f>'CLASSIFICA ORDINATA'!C20</f>
        <v/>
      </c>
      <c r="G21" s="12">
        <f>'CLASSIFICA ORDINATA'!D20</f>
        <v>1.0001</v>
      </c>
      <c r="H21" s="12" t="str">
        <f>'CLASSIFICA ORDINATA'!E20</f>
        <v/>
      </c>
      <c r="I21" s="79">
        <f>'CLASSIFICA ORDINATA'!F20</f>
        <v>1.0001</v>
      </c>
      <c r="J21" s="12" t="str">
        <f>'CLASSIFICA ORDINATA'!G20</f>
        <v/>
      </c>
      <c r="K21" s="12">
        <f>'CLASSIFICA ORDINATA'!H20</f>
        <v>1.0001</v>
      </c>
      <c r="L21" s="12" t="str">
        <f>'CLASSIFICA ORDINATA'!I20</f>
        <v/>
      </c>
      <c r="M21" s="79">
        <f>'CLASSIFICA ORDINATA'!J20</f>
        <v>1.0001</v>
      </c>
      <c r="N21" s="12" t="str">
        <f>'CLASSIFICA ORDINATA'!K20</f>
        <v/>
      </c>
      <c r="O21" s="12" t="str">
        <f>'CLASSIFICA ORDINATA'!L20</f>
        <v/>
      </c>
      <c r="P21" s="12" t="str">
        <f>'CLASSIFICA ORDINATA'!M20</f>
        <v/>
      </c>
      <c r="Q21" s="79" t="str">
        <f>'CLASSIFICA ORDINATA'!N20</f>
        <v/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2.0002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Asseemazz</v>
      </c>
      <c r="C22" s="67" t="str">
        <f>VLOOKUP(B22,nomi!B:C,2,FALSE)</f>
        <v>TLM_GAMMA</v>
      </c>
      <c r="D22" s="67" t="str">
        <f>VLOOKUP(B22,nomi!B:G,6,FALSE)</f>
        <v>TLM</v>
      </c>
      <c r="E22" s="67">
        <f>VLOOKUP(B22,nomi!B:I,8,FALSE)</f>
        <v>33</v>
      </c>
      <c r="F22" s="12" t="str">
        <f>'CLASSIFICA ORDINATA'!C21</f>
        <v/>
      </c>
      <c r="G22" s="12">
        <f>'CLASSIFICA ORDINATA'!D21</f>
        <v>1.01</v>
      </c>
      <c r="H22" s="12" t="str">
        <f>'CLASSIFICA ORDINATA'!E21</f>
        <v/>
      </c>
      <c r="I22" s="79">
        <f>'CLASSIFICA ORDINATA'!F21</f>
        <v>1.01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9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9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1.01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1" t="s">
        <v>30</v>
      </c>
      <c r="B23" s="119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Parenji</v>
      </c>
      <c r="C24" s="67" t="str">
        <f>VLOOKUP(B24,nomi!B:C,2,FALSE)</f>
        <v>TLM_Parenti</v>
      </c>
      <c r="D24" s="90" t="str">
        <f>VLOOKUP(B24,nomi!B:G,6,FALSE)</f>
        <v>TLM</v>
      </c>
      <c r="E24" s="139">
        <f>VLOOKUP(B24,nomi!B:I,8,FALSE)</f>
        <v>8</v>
      </c>
      <c r="F24" s="12">
        <f>'CLASSIFICA ORDINATA'!C23</f>
        <v>1</v>
      </c>
      <c r="G24" s="12">
        <f>'CLASSIFICA ORDINATA'!D23</f>
        <v>20</v>
      </c>
      <c r="H24" s="12">
        <f>'CLASSIFICA ORDINATA'!E23</f>
        <v>1</v>
      </c>
      <c r="I24" s="79">
        <f>'CLASSIFICA ORDINATA'!F23</f>
        <v>22</v>
      </c>
      <c r="J24" s="12">
        <f>'CLASSIFICA ORDINATA'!G23</f>
        <v>1</v>
      </c>
      <c r="K24" s="12">
        <f>'CLASSIFICA ORDINATA'!H23</f>
        <v>20</v>
      </c>
      <c r="L24" s="12" t="str">
        <f>'CLASSIFICA ORDINATA'!I23</f>
        <v/>
      </c>
      <c r="M24" s="79">
        <f>'CLASSIFICA ORDINATA'!J23</f>
        <v>21</v>
      </c>
      <c r="N24" s="12" t="str">
        <f>'CLASSIFICA ORDINATA'!K23</f>
        <v/>
      </c>
      <c r="O24" s="12" t="str">
        <f>'CLASSIFICA ORDINATA'!L23</f>
        <v/>
      </c>
      <c r="P24" s="12" t="str">
        <f>'CLASSIFICA ORDINATA'!M23</f>
        <v/>
      </c>
      <c r="Q24" s="79" t="str">
        <f>'CLASSIFICA ORDINATA'!N23</f>
        <v/>
      </c>
      <c r="R24" s="12" t="str">
        <f>'CLASSIFICA ORDINATA'!O23</f>
        <v/>
      </c>
      <c r="S24" s="12" t="str">
        <f>'CLASSIFICA ORDINATA'!P23</f>
        <v/>
      </c>
      <c r="T24" s="12" t="str">
        <f>'CLASSIFICA ORDINATA'!Q23</f>
        <v/>
      </c>
      <c r="U24" s="79" t="str">
        <f>'CLASSIFICA ORDINATA'!R23</f>
        <v/>
      </c>
      <c r="V24" s="12" t="str">
        <f>'CLASSIFICA ORDINATA'!S23</f>
        <v/>
      </c>
      <c r="W24" s="12" t="str">
        <f>'CLASSIFICA ORDINATA'!T23</f>
        <v/>
      </c>
      <c r="X24" s="12" t="str">
        <f>'CLASSIFICA ORDINATA'!U23</f>
        <v/>
      </c>
      <c r="Y24" s="79" t="str">
        <f>'CLASSIFICA ORDINATA'!V23</f>
        <v/>
      </c>
      <c r="Z24" s="80">
        <f>'CLASSIFICA ORDINATA'!W23</f>
        <v>43</v>
      </c>
    </row>
    <row r="25" spans="1:16353" ht="20" customHeight="1" x14ac:dyDescent="0.2">
      <c r="A25" s="69" t="s">
        <v>3</v>
      </c>
      <c r="B25" s="67" t="str">
        <f>'CLASSIFICA ORDINATA'!B24</f>
        <v>Rupetheking</v>
      </c>
      <c r="C25" s="67" t="str">
        <f>VLOOKUP(B25,nomi!B:C,2,FALSE)</f>
        <v xml:space="preserve">Tlm-rupetheking </v>
      </c>
      <c r="D25" s="90" t="str">
        <f>VLOOKUP(B25,nomi!B:G,6,FALSE)</f>
        <v>TLM</v>
      </c>
      <c r="E25" s="139">
        <f>VLOOKUP(B25,nomi!B:I,8,FALSE)</f>
        <v>44</v>
      </c>
      <c r="F25" s="12" t="str">
        <f>'CLASSIFICA ORDINATA'!C24</f>
        <v/>
      </c>
      <c r="G25" s="12">
        <f>'CLASSIFICA ORDINATA'!D24</f>
        <v>25</v>
      </c>
      <c r="H25" s="12" t="str">
        <f>'CLASSIFICA ORDINATA'!E24</f>
        <v/>
      </c>
      <c r="I25" s="79">
        <f>'CLASSIFICA ORDINATA'!F24</f>
        <v>25</v>
      </c>
      <c r="J25" s="12" t="str">
        <f>'CLASSIFICA ORDINATA'!G24</f>
        <v/>
      </c>
      <c r="K25" s="12">
        <f>'CLASSIFICA ORDINATA'!H24</f>
        <v>12</v>
      </c>
      <c r="L25" s="12">
        <f>'CLASSIFICA ORDINATA'!I24</f>
        <v>1</v>
      </c>
      <c r="M25" s="79">
        <f>'CLASSIFICA ORDINATA'!J24</f>
        <v>13</v>
      </c>
      <c r="N25" s="12" t="str">
        <f>'CLASSIFICA ORDINATA'!K24</f>
        <v/>
      </c>
      <c r="O25" s="12" t="str">
        <f>'CLASSIFICA ORDINATA'!L24</f>
        <v/>
      </c>
      <c r="P25" s="12" t="str">
        <f>'CLASSIFICA ORDINATA'!M24</f>
        <v/>
      </c>
      <c r="Q25" s="79" t="str">
        <f>'CLASSIFICA ORDINATA'!N24</f>
        <v/>
      </c>
      <c r="R25" s="12" t="str">
        <f>'CLASSIFICA ORDINATA'!O24</f>
        <v/>
      </c>
      <c r="S25" s="12" t="str">
        <f>'CLASSIFICA ORDINATA'!P24</f>
        <v/>
      </c>
      <c r="T25" s="12" t="str">
        <f>'CLASSIFICA ORDINATA'!Q24</f>
        <v/>
      </c>
      <c r="U25" s="79" t="str">
        <f>'CLASSIFICA ORDINATA'!R24</f>
        <v/>
      </c>
      <c r="V25" s="12" t="str">
        <f>'CLASSIFICA ORDINATA'!S24</f>
        <v/>
      </c>
      <c r="W25" s="12" t="str">
        <f>'CLASSIFICA ORDINATA'!T24</f>
        <v/>
      </c>
      <c r="X25" s="12" t="str">
        <f>'CLASSIFICA ORDINATA'!U24</f>
        <v/>
      </c>
      <c r="Y25" s="79" t="str">
        <f>'CLASSIFICA ORDINATA'!V24</f>
        <v/>
      </c>
      <c r="Z25" s="80">
        <f>'CLASSIFICA ORDINATA'!W24</f>
        <v>38</v>
      </c>
    </row>
    <row r="26" spans="1:16353" ht="20" customHeight="1" x14ac:dyDescent="0.2">
      <c r="A26" s="70" t="s">
        <v>4</v>
      </c>
      <c r="B26" s="67" t="str">
        <f>'CLASSIFICA ORDINATA'!B25</f>
        <v>TLM_SKIZZO 34</v>
      </c>
      <c r="C26" s="67" t="str">
        <f>VLOOKUP(B26,nomi!B:C,2,FALSE)</f>
        <v>TLM_SKIZZO 34</v>
      </c>
      <c r="D26" s="90" t="str">
        <f>VLOOKUP(B26,nomi!B:G,6,FALSE)</f>
        <v>TLM</v>
      </c>
      <c r="E26" s="139">
        <f>VLOOKUP(B26,nomi!B:I,8,FALSE)</f>
        <v>34</v>
      </c>
      <c r="F26" s="12" t="str">
        <f>'CLASSIFICA ORDINATA'!C25</f>
        <v/>
      </c>
      <c r="G26" s="12">
        <f>'CLASSIFICA ORDINATA'!D25</f>
        <v>16</v>
      </c>
      <c r="H26" s="12" t="str">
        <f>'CLASSIFICA ORDINATA'!E25</f>
        <v/>
      </c>
      <c r="I26" s="79">
        <f>'CLASSIFICA ORDINATA'!F25</f>
        <v>16</v>
      </c>
      <c r="J26" s="12" t="str">
        <f>'CLASSIFICA ORDINATA'!G25</f>
        <v/>
      </c>
      <c r="K26" s="12">
        <f>'CLASSIFICA ORDINATA'!H25</f>
        <v>18</v>
      </c>
      <c r="L26" s="12" t="str">
        <f>'CLASSIFICA ORDINATA'!I25</f>
        <v/>
      </c>
      <c r="M26" s="79">
        <f>'CLASSIFICA ORDINATA'!J25</f>
        <v>18</v>
      </c>
      <c r="N26" s="12" t="str">
        <f>'CLASSIFICA ORDINATA'!K25</f>
        <v/>
      </c>
      <c r="O26" s="12" t="str">
        <f>'CLASSIFICA ORDINATA'!L25</f>
        <v/>
      </c>
      <c r="P26" s="12" t="str">
        <f>'CLASSIFICA ORDINATA'!M25</f>
        <v/>
      </c>
      <c r="Q26" s="79" t="str">
        <f>'CLASSIFICA ORDINATA'!N25</f>
        <v/>
      </c>
      <c r="R26" s="12" t="str">
        <f>'CLASSIFICA ORDINATA'!O25</f>
        <v/>
      </c>
      <c r="S26" s="12" t="str">
        <f>'CLASSIFICA ORDINATA'!P25</f>
        <v/>
      </c>
      <c r="T26" s="12" t="str">
        <f>'CLASSIFICA ORDINATA'!Q25</f>
        <v/>
      </c>
      <c r="U26" s="79" t="str">
        <f>'CLASSIFICA ORDINATA'!R25</f>
        <v/>
      </c>
      <c r="V26" s="12" t="str">
        <f>'CLASSIFICA ORDINATA'!S25</f>
        <v/>
      </c>
      <c r="W26" s="12" t="str">
        <f>'CLASSIFICA ORDINATA'!T25</f>
        <v/>
      </c>
      <c r="X26" s="12" t="str">
        <f>'CLASSIFICA ORDINATA'!U25</f>
        <v/>
      </c>
      <c r="Y26" s="79" t="str">
        <f>'CLASSIFICA ORDINATA'!V25</f>
        <v/>
      </c>
      <c r="Z26" s="80">
        <f>'CLASSIFICA ORDINATA'!W25</f>
        <v>34</v>
      </c>
    </row>
    <row r="27" spans="1:16353" ht="20" customHeight="1" x14ac:dyDescent="0.2">
      <c r="A27" s="71" t="s">
        <v>5</v>
      </c>
      <c r="B27" s="67" t="str">
        <f>'CLASSIFICA ORDINATA'!B26</f>
        <v>andvea_99</v>
      </c>
      <c r="C27" s="67" t="str">
        <f>VLOOKUP(B27,nomi!B:C,2,FALSE)</f>
        <v>TLM_andvea99</v>
      </c>
      <c r="D27" s="90" t="str">
        <f>VLOOKUP(B27,nomi!B:G,6,FALSE)</f>
        <v>TLM</v>
      </c>
      <c r="E27" s="139">
        <f>VLOOKUP(B27,nomi!B:I,8,FALSE)</f>
        <v>99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9" t="str">
        <f>'CLASSIFICA ORDINATA'!F26</f>
        <v/>
      </c>
      <c r="J27" s="12" t="str">
        <f>'CLASSIFICA ORDINATA'!G26</f>
        <v/>
      </c>
      <c r="K27" s="12">
        <f>'CLASSIFICA ORDINATA'!H26</f>
        <v>25</v>
      </c>
      <c r="L27" s="12" t="str">
        <f>'CLASSIFICA ORDINATA'!I26</f>
        <v/>
      </c>
      <c r="M27" s="79">
        <f>'CLASSIFICA ORDINATA'!J26</f>
        <v>25</v>
      </c>
      <c r="N27" s="12" t="str">
        <f>'CLASSIFICA ORDINATA'!K26</f>
        <v/>
      </c>
      <c r="O27" s="12" t="str">
        <f>'CLASSIFICA ORDINATA'!L26</f>
        <v/>
      </c>
      <c r="P27" s="12" t="str">
        <f>'CLASSIFICA ORDINATA'!M26</f>
        <v/>
      </c>
      <c r="Q27" s="79" t="str">
        <f>'CLASSIFICA ORDINATA'!N26</f>
        <v/>
      </c>
      <c r="R27" s="12" t="str">
        <f>'CLASSIFICA ORDINATA'!O26</f>
        <v/>
      </c>
      <c r="S27" s="12" t="str">
        <f>'CLASSIFICA ORDINATA'!P26</f>
        <v/>
      </c>
      <c r="T27" s="12" t="str">
        <f>'CLASSIFICA ORDINATA'!Q26</f>
        <v/>
      </c>
      <c r="U27" s="79" t="str">
        <f>'CLASSIFICA ORDINATA'!R26</f>
        <v/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25</v>
      </c>
    </row>
    <row r="28" spans="1:16353" ht="20" customHeight="1" x14ac:dyDescent="0.2">
      <c r="A28" s="71" t="s">
        <v>6</v>
      </c>
      <c r="B28" s="67" t="str">
        <f>'CLASSIFICA ORDINATA'!B27</f>
        <v>mark126p</v>
      </c>
      <c r="C28" s="67" t="str">
        <f>VLOOKUP(B28,nomi!B:C,2,FALSE)</f>
        <v>Tlm mark126p</v>
      </c>
      <c r="D28" s="90" t="str">
        <f>VLOOKUP(B28,nomi!B:G,6,FALSE)</f>
        <v>TLM</v>
      </c>
      <c r="E28" s="139">
        <f>VLOOKUP(B28,nomi!B:I,8,FALSE)</f>
        <v>4</v>
      </c>
      <c r="F28" s="12" t="str">
        <f>'CLASSIFICA ORDINATA'!C27</f>
        <v/>
      </c>
      <c r="G28" s="12">
        <f>'CLASSIFICA ORDINATA'!D27</f>
        <v>10</v>
      </c>
      <c r="H28" s="12" t="str">
        <f>'CLASSIFICA ORDINATA'!E27</f>
        <v/>
      </c>
      <c r="I28" s="79">
        <f>'CLASSIFICA ORDINATA'!F27</f>
        <v>10</v>
      </c>
      <c r="J28" s="12" t="str">
        <f>'CLASSIFICA ORDINATA'!G27</f>
        <v/>
      </c>
      <c r="K28" s="12">
        <f>'CLASSIFICA ORDINATA'!H27</f>
        <v>14</v>
      </c>
      <c r="L28" s="12" t="str">
        <f>'CLASSIFICA ORDINATA'!I27</f>
        <v/>
      </c>
      <c r="M28" s="79">
        <f>'CLASSIFICA ORDINATA'!J27</f>
        <v>14</v>
      </c>
      <c r="N28" s="12" t="str">
        <f>'CLASSIFICA ORDINATA'!K27</f>
        <v/>
      </c>
      <c r="O28" s="12" t="str">
        <f>'CLASSIFICA ORDINATA'!L27</f>
        <v/>
      </c>
      <c r="P28" s="12" t="str">
        <f>'CLASSIFICA ORDINATA'!M27</f>
        <v/>
      </c>
      <c r="Q28" s="79" t="str">
        <f>'CLASSIFICA ORDINATA'!N27</f>
        <v/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24</v>
      </c>
    </row>
    <row r="29" spans="1:16353" ht="20" customHeight="1" x14ac:dyDescent="0.2">
      <c r="A29" s="71" t="s">
        <v>7</v>
      </c>
      <c r="B29" s="67" t="str">
        <f>'CLASSIFICA ORDINATA'!B28</f>
        <v>TLM_dimaa66</v>
      </c>
      <c r="C29" s="67" t="str">
        <f>VLOOKUP(B29,nomi!B:C,2,FALSE)</f>
        <v>TLM_Dimaaa_66</v>
      </c>
      <c r="D29" s="90" t="str">
        <f>VLOOKUP(B29,nomi!B:G,6,FALSE)</f>
        <v>TLM</v>
      </c>
      <c r="E29" s="139">
        <f>VLOOKUP(B29,nomi!B:I,8,FALSE)</f>
        <v>66</v>
      </c>
      <c r="F29" s="12" t="str">
        <f>'CLASSIFICA ORDINATA'!C28</f>
        <v/>
      </c>
      <c r="G29" s="12">
        <f>'CLASSIFICA ORDINATA'!D28</f>
        <v>14</v>
      </c>
      <c r="H29" s="12" t="str">
        <f>'CLASSIFICA ORDINATA'!E28</f>
        <v/>
      </c>
      <c r="I29" s="79">
        <f>'CLASSIFICA ORDINATA'!F28</f>
        <v>14</v>
      </c>
      <c r="J29" s="12" t="str">
        <f>'CLASSIFICA ORDINATA'!G28</f>
        <v/>
      </c>
      <c r="K29" s="12">
        <f>'CLASSIFICA ORDINATA'!H28</f>
        <v>6</v>
      </c>
      <c r="L29" s="12" t="str">
        <f>'CLASSIFICA ORDINATA'!I28</f>
        <v/>
      </c>
      <c r="M29" s="79">
        <f>'CLASSIFICA ORDINATA'!J28</f>
        <v>6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20</v>
      </c>
    </row>
    <row r="30" spans="1:16353" ht="20" customHeight="1" x14ac:dyDescent="0.2">
      <c r="A30" s="71" t="s">
        <v>8</v>
      </c>
      <c r="B30" s="67" t="str">
        <f>'CLASSIFICA ORDINATA'!B29</f>
        <v>Ulix1990</v>
      </c>
      <c r="C30" s="67" t="str">
        <f>VLOOKUP(B30,nomi!B:C,2,FALSE)</f>
        <v>TLM_Ulix1990*</v>
      </c>
      <c r="D30" s="90" t="str">
        <f>VLOOKUP(B30,nomi!B:G,6,FALSE)</f>
        <v>TLM</v>
      </c>
      <c r="E30" s="139">
        <f>VLOOKUP(B30,nomi!B:I,8,FALSE)</f>
        <v>22</v>
      </c>
      <c r="F30" s="12" t="str">
        <f>'CLASSIFICA ORDINATA'!C29</f>
        <v/>
      </c>
      <c r="G30" s="12">
        <f>'CLASSIFICA ORDINATA'!D29</f>
        <v>18</v>
      </c>
      <c r="H30" s="12" t="str">
        <f>'CLASSIFICA ORDINATA'!E29</f>
        <v/>
      </c>
      <c r="I30" s="79">
        <f>'CLASSIFICA ORDINATA'!F29</f>
        <v>18</v>
      </c>
      <c r="J30" s="12" t="str">
        <f>'CLASSIFICA ORDINATA'!G29</f>
        <v/>
      </c>
      <c r="K30" s="12" t="str">
        <f>'CLASSIFICA ORDINATA'!H29</f>
        <v/>
      </c>
      <c r="L30" s="12" t="str">
        <f>'CLASSIFICA ORDINATA'!I29</f>
        <v/>
      </c>
      <c r="M30" s="79" t="str">
        <f>'CLASSIFICA ORDINATA'!J29</f>
        <v/>
      </c>
      <c r="N30" s="12" t="str">
        <f>'CLASSIFICA ORDINATA'!K29</f>
        <v/>
      </c>
      <c r="O30" s="12" t="str">
        <f>'CLASSIFICA ORDINATA'!L29</f>
        <v/>
      </c>
      <c r="P30" s="12" t="str">
        <f>'CLASSIFICA ORDINATA'!M29</f>
        <v/>
      </c>
      <c r="Q30" s="79" t="str">
        <f>'CLASSIFICA ORDINATA'!N29</f>
        <v/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 t="str">
        <f>'CLASSIFICA ORDINATA'!T29</f>
        <v/>
      </c>
      <c r="X30" s="12" t="str">
        <f>'CLASSIFICA ORDINATA'!U29</f>
        <v/>
      </c>
      <c r="Y30" s="79" t="str">
        <f>'CLASSIFICA ORDINATA'!V29</f>
        <v/>
      </c>
      <c r="Z30" s="80">
        <f>'CLASSIFICA ORDINATA'!W29</f>
        <v>18</v>
      </c>
    </row>
    <row r="31" spans="1:16353" ht="20" customHeight="1" x14ac:dyDescent="0.2">
      <c r="A31" s="71" t="s">
        <v>9</v>
      </c>
      <c r="B31" s="67" t="str">
        <f>'CLASSIFICA ORDINATA'!B30</f>
        <v>Tonyroto74</v>
      </c>
      <c r="C31" s="67" t="str">
        <f>VLOOKUP(B31,nomi!B:C,2,FALSE)</f>
        <v>Tonyroto</v>
      </c>
      <c r="D31" s="90" t="str">
        <f>VLOOKUP(B31,nomi!B:G,6,FALSE)</f>
        <v>TLM</v>
      </c>
      <c r="E31" s="139">
        <f>VLOOKUP(B31,nomi!B:I,8,FALSE)</f>
        <v>74</v>
      </c>
      <c r="F31" s="12" t="str">
        <f>'CLASSIFICA ORDINATA'!C30</f>
        <v/>
      </c>
      <c r="G31" s="12" t="str">
        <f>'CLASSIFICA ORDINATA'!D30</f>
        <v/>
      </c>
      <c r="H31" s="12" t="str">
        <f>'CLASSIFICA ORDINATA'!E30</f>
        <v/>
      </c>
      <c r="I31" s="79" t="str">
        <f>'CLASSIFICA ORDINATA'!F30</f>
        <v/>
      </c>
      <c r="J31" s="12" t="str">
        <f>'CLASSIFICA ORDINATA'!G30</f>
        <v/>
      </c>
      <c r="K31" s="12">
        <f>'CLASSIFICA ORDINATA'!H30</f>
        <v>16</v>
      </c>
      <c r="L31" s="12" t="str">
        <f>'CLASSIFICA ORDINATA'!I30</f>
        <v/>
      </c>
      <c r="M31" s="79">
        <f>'CLASSIFICA ORDINATA'!J30</f>
        <v>16</v>
      </c>
      <c r="N31" s="12" t="str">
        <f>'CLASSIFICA ORDINATA'!K30</f>
        <v/>
      </c>
      <c r="O31" s="12" t="str">
        <f>'CLASSIFICA ORDINATA'!L30</f>
        <v/>
      </c>
      <c r="P31" s="12" t="str">
        <f>'CLASSIFICA ORDINATA'!M30</f>
        <v/>
      </c>
      <c r="Q31" s="79" t="str">
        <f>'CLASSIFICA ORDINATA'!N30</f>
        <v/>
      </c>
      <c r="R31" s="12" t="str">
        <f>'CLASSIFICA ORDINATA'!O30</f>
        <v/>
      </c>
      <c r="S31" s="12" t="str">
        <f>'CLASSIFICA ORDINATA'!P30</f>
        <v/>
      </c>
      <c r="T31" s="12" t="str">
        <f>'CLASSIFICA ORDINATA'!Q30</f>
        <v/>
      </c>
      <c r="U31" s="79" t="str">
        <f>'CLASSIFICA ORDINATA'!R30</f>
        <v/>
      </c>
      <c r="V31" s="12" t="str">
        <f>'CLASSIFICA ORDINATA'!S30</f>
        <v/>
      </c>
      <c r="W31" s="12" t="str">
        <f>'CLASSIFICA ORDINATA'!T30</f>
        <v/>
      </c>
      <c r="X31" s="12" t="str">
        <f>'CLASSIFICA ORDINATA'!U30</f>
        <v/>
      </c>
      <c r="Y31" s="79" t="str">
        <f>'CLASSIFICA ORDINATA'!V30</f>
        <v/>
      </c>
      <c r="Z31" s="80">
        <f>'CLASSIFICA ORDINATA'!W30</f>
        <v>16</v>
      </c>
    </row>
    <row r="32" spans="1:16353" ht="20" customHeight="1" x14ac:dyDescent="0.2">
      <c r="A32" s="71" t="s">
        <v>10</v>
      </c>
      <c r="B32" s="67" t="str">
        <f>'CLASSIFICA ORDINATA'!B31</f>
        <v>TLM_michaelFox12</v>
      </c>
      <c r="C32" s="67" t="str">
        <f>VLOOKUP(B32,nomi!B:C,2,FALSE)</f>
        <v>TLM_michaelfox12</v>
      </c>
      <c r="D32" s="90" t="str">
        <f>VLOOKUP(B32,nomi!B:G,6,FALSE)</f>
        <v>TLM</v>
      </c>
      <c r="E32" s="139">
        <f>VLOOKUP(B32,nomi!B:I,8,FALSE)</f>
        <v>12</v>
      </c>
      <c r="F32" s="12" t="str">
        <f>'CLASSIFICA ORDINATA'!C31</f>
        <v/>
      </c>
      <c r="G32" s="12">
        <f>'CLASSIFICA ORDINATA'!D31</f>
        <v>12</v>
      </c>
      <c r="H32" s="12" t="str">
        <f>'CLASSIFICA ORDINATA'!E31</f>
        <v/>
      </c>
      <c r="I32" s="79">
        <f>'CLASSIFICA ORDINATA'!F31</f>
        <v>12</v>
      </c>
      <c r="J32" s="12" t="str">
        <f>'CLASSIFICA ORDINATA'!G31</f>
        <v/>
      </c>
      <c r="K32" s="12">
        <f>'CLASSIFICA ORDINATA'!H31</f>
        <v>1.0009999999999999</v>
      </c>
      <c r="L32" s="12" t="str">
        <f>'CLASSIFICA ORDINATA'!I31</f>
        <v/>
      </c>
      <c r="M32" s="79">
        <f>'CLASSIFICA ORDINATA'!J31</f>
        <v>1.0009999999999999</v>
      </c>
      <c r="N32" s="12" t="str">
        <f>'CLASSIFICA ORDINATA'!K31</f>
        <v/>
      </c>
      <c r="O32" s="12" t="str">
        <f>'CLASSIFICA ORDINATA'!L31</f>
        <v/>
      </c>
      <c r="P32" s="12" t="str">
        <f>'CLASSIFICA ORDINATA'!M31</f>
        <v/>
      </c>
      <c r="Q32" s="79" t="str">
        <f>'CLASSIFICA ORDINATA'!N31</f>
        <v/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13.000999999999999</v>
      </c>
    </row>
    <row r="33" spans="1:26" ht="20" customHeight="1" x14ac:dyDescent="0.2">
      <c r="A33" s="71" t="s">
        <v>11</v>
      </c>
      <c r="B33" s="67" t="str">
        <f>'CLASSIFICA ORDINATA'!B32</f>
        <v>Febshy</v>
      </c>
      <c r="C33" s="67" t="str">
        <f>VLOOKUP(B33,nomi!B:C,2,FALSE)</f>
        <v>TLM Febshy</v>
      </c>
      <c r="D33" s="90" t="str">
        <f>VLOOKUP(B33,nomi!B:G,6,FALSE)</f>
        <v>TLM</v>
      </c>
      <c r="E33" s="139">
        <f>VLOOKUP(B33,nomi!B:I,8,FALSE)</f>
        <v>29</v>
      </c>
      <c r="F33" s="12" t="str">
        <f>'CLASSIFICA ORDINATA'!C32</f>
        <v/>
      </c>
      <c r="G33" s="12">
        <f>'CLASSIFICA ORDINATA'!D32</f>
        <v>6</v>
      </c>
      <c r="H33" s="12" t="str">
        <f>'CLASSIFICA ORDINATA'!E32</f>
        <v/>
      </c>
      <c r="I33" s="79">
        <f>'CLASSIFICA ORDINATA'!F32</f>
        <v>6</v>
      </c>
      <c r="J33" s="12" t="str">
        <f>'CLASSIFICA ORDINATA'!G32</f>
        <v/>
      </c>
      <c r="K33" s="12">
        <f>'CLASSIFICA ORDINATA'!H32</f>
        <v>4</v>
      </c>
      <c r="L33" s="12" t="str">
        <f>'CLASSIFICA ORDINATA'!I32</f>
        <v/>
      </c>
      <c r="M33" s="79">
        <f>'CLASSIFICA ORDINATA'!J32</f>
        <v>4</v>
      </c>
      <c r="N33" s="12" t="str">
        <f>'CLASSIFICA ORDINATA'!K32</f>
        <v/>
      </c>
      <c r="O33" s="12" t="str">
        <f>'CLASSIFICA ORDINATA'!L32</f>
        <v/>
      </c>
      <c r="P33" s="12" t="str">
        <f>'CLASSIFICA ORDINATA'!M32</f>
        <v/>
      </c>
      <c r="Q33" s="79" t="str">
        <f>'CLASSIFICA ORDINATA'!N32</f>
        <v/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 t="str">
        <f>'CLASSIFICA ORDINATA'!T32</f>
        <v/>
      </c>
      <c r="X33" s="12" t="str">
        <f>'CLASSIFICA ORDINATA'!U32</f>
        <v/>
      </c>
      <c r="Y33" s="79" t="str">
        <f>'CLASSIFICA ORDINATA'!V32</f>
        <v/>
      </c>
      <c r="Z33" s="80">
        <f>'CLASSIFICA ORDINATA'!W32</f>
        <v>10</v>
      </c>
    </row>
    <row r="34" spans="1:26" ht="20" customHeight="1" x14ac:dyDescent="0.2">
      <c r="A34" s="71" t="s">
        <v>12</v>
      </c>
      <c r="B34" s="67" t="str">
        <f>'CLASSIFICA ORDINATA'!B33</f>
        <v>mattebenny</v>
      </c>
      <c r="C34" s="67" t="str">
        <f>VLOOKUP(B34,nomi!B:C,2,FALSE)</f>
        <v>Benny89</v>
      </c>
      <c r="D34" s="90" t="str">
        <f>VLOOKUP(B34,nomi!B:G,6,FALSE)</f>
        <v>TLM</v>
      </c>
      <c r="E34" s="139">
        <f>VLOOKUP(B34,nomi!B:I,8,FALSE)</f>
        <v>89</v>
      </c>
      <c r="F34" s="12" t="str">
        <f>'CLASSIFICA ORDINATA'!C33</f>
        <v/>
      </c>
      <c r="G34" s="12" t="str">
        <f>'CLASSIFICA ORDINATA'!D33</f>
        <v/>
      </c>
      <c r="H34" s="12" t="str">
        <f>'CLASSIFICA ORDINATA'!E33</f>
        <v/>
      </c>
      <c r="I34" s="79" t="str">
        <f>'CLASSIFICA ORDINATA'!F33</f>
        <v/>
      </c>
      <c r="J34" s="12" t="str">
        <f>'CLASSIFICA ORDINATA'!G33</f>
        <v/>
      </c>
      <c r="K34" s="12">
        <f>'CLASSIFICA ORDINATA'!H33</f>
        <v>10</v>
      </c>
      <c r="L34" s="12" t="str">
        <f>'CLASSIFICA ORDINATA'!I33</f>
        <v/>
      </c>
      <c r="M34" s="79">
        <f>'CLASSIFICA ORDINATA'!J33</f>
        <v>10</v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 t="str">
        <f>'CLASSIFICA ORDINATA'!P33</f>
        <v/>
      </c>
      <c r="T34" s="12" t="str">
        <f>'CLASSIFICA ORDINATA'!Q33</f>
        <v/>
      </c>
      <c r="U34" s="79" t="str">
        <f>'CLASSIFICA ORDINATA'!R33</f>
        <v/>
      </c>
      <c r="V34" s="12" t="str">
        <f>'CLASSIFICA ORDINATA'!S33</f>
        <v/>
      </c>
      <c r="W34" s="12" t="str">
        <f>'CLASSIFICA ORDINATA'!T33</f>
        <v/>
      </c>
      <c r="X34" s="12" t="str">
        <f>'CLASSIFICA ORDINATA'!U33</f>
        <v/>
      </c>
      <c r="Y34" s="79" t="str">
        <f>'CLASSIFICA ORDINATA'!V33</f>
        <v/>
      </c>
      <c r="Z34" s="80">
        <f>'CLASSIFICA ORDINATA'!W33</f>
        <v>10</v>
      </c>
    </row>
    <row r="35" spans="1:26" ht="20" customHeight="1" x14ac:dyDescent="0.2">
      <c r="A35" s="71" t="s">
        <v>13</v>
      </c>
      <c r="B35" s="67" t="str">
        <f>'CLASSIFICA ORDINATA'!B34</f>
        <v>Asseemazz</v>
      </c>
      <c r="C35" s="67" t="str">
        <f>VLOOKUP(B35,nomi!B:C,2,FALSE)</f>
        <v>TLM_GAMMA</v>
      </c>
      <c r="D35" s="90" t="str">
        <f>VLOOKUP(B35,nomi!B:G,6,FALSE)</f>
        <v>TLM</v>
      </c>
      <c r="E35" s="139">
        <f>VLOOKUP(B35,nomi!B:I,8,FALSE)</f>
        <v>33</v>
      </c>
      <c r="F35" s="12" t="str">
        <f>'CLASSIFICA ORDINATA'!C34</f>
        <v/>
      </c>
      <c r="G35" s="12">
        <f>'CLASSIFICA ORDINATA'!D34</f>
        <v>4</v>
      </c>
      <c r="H35" s="12" t="str">
        <f>'CLASSIFICA ORDINATA'!E34</f>
        <v/>
      </c>
      <c r="I35" s="79">
        <f>'CLASSIFICA ORDINATA'!F34</f>
        <v>4</v>
      </c>
      <c r="J35" s="12" t="str">
        <f>'CLASSIFICA ORDINATA'!G34</f>
        <v/>
      </c>
      <c r="K35" s="12" t="str">
        <f>'CLASSIFICA ORDINATA'!H34</f>
        <v/>
      </c>
      <c r="L35" s="12" t="str">
        <f>'CLASSIFICA ORDINATA'!I34</f>
        <v/>
      </c>
      <c r="M35" s="79" t="str">
        <f>'CLASSIFICA ORDINATA'!J34</f>
        <v/>
      </c>
      <c r="N35" s="12" t="str">
        <f>'CLASSIFICA ORDINATA'!K34</f>
        <v/>
      </c>
      <c r="O35" s="12" t="str">
        <f>'CLASSIFICA ORDINATA'!L34</f>
        <v/>
      </c>
      <c r="P35" s="12" t="str">
        <f>'CLASSIFICA ORDINATA'!M34</f>
        <v/>
      </c>
      <c r="Q35" s="79" t="str">
        <f>'CLASSIFICA ORDINATA'!N34</f>
        <v/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4</v>
      </c>
    </row>
    <row r="36" spans="1:26" ht="20" customHeight="1" x14ac:dyDescent="0.2">
      <c r="A36" s="71">
        <v>13</v>
      </c>
      <c r="B36" s="67" t="str">
        <f>'CLASSIFICA ORDINATA'!B35</f>
        <v>CTR_ocior-78</v>
      </c>
      <c r="C36" s="67" t="str">
        <f>VLOOKUP(B36,nomi!B:C,2,FALSE)</f>
        <v>TLM-Ocior78</v>
      </c>
      <c r="D36" s="90" t="str">
        <f>VLOOKUP(B36,nomi!B:G,6,FALSE)</f>
        <v>TLM</v>
      </c>
      <c r="E36" s="139">
        <f>VLOOKUP(B36,nomi!B:I,8,FALSE)</f>
        <v>104</v>
      </c>
      <c r="F36" s="12" t="str">
        <f>'CLASSIFICA ORDINATA'!C35</f>
        <v/>
      </c>
      <c r="G36" s="12">
        <f>'CLASSIFICA ORDINATA'!D35</f>
        <v>2</v>
      </c>
      <c r="H36" s="12" t="str">
        <f>'CLASSIFICA ORDINATA'!E35</f>
        <v/>
      </c>
      <c r="I36" s="79">
        <f>'CLASSIFICA ORDINATA'!F35</f>
        <v>2</v>
      </c>
      <c r="J36" s="12" t="str">
        <f>'CLASSIFICA ORDINATA'!G35</f>
        <v/>
      </c>
      <c r="K36" s="12">
        <f>'CLASSIFICA ORDINATA'!H35</f>
        <v>2</v>
      </c>
      <c r="L36" s="12" t="str">
        <f>'CLASSIFICA ORDINATA'!I35</f>
        <v/>
      </c>
      <c r="M36" s="79">
        <f>'CLASSIFICA ORDINATA'!J35</f>
        <v>2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 t="str">
        <f>'CLASSIFICA ORDINATA'!O35</f>
        <v/>
      </c>
      <c r="S36" s="12" t="str">
        <f>'CLASSIFICA ORDINATA'!P35</f>
        <v/>
      </c>
      <c r="T36" s="12" t="str">
        <f>'CLASSIFICA ORDINATA'!Q35</f>
        <v/>
      </c>
      <c r="U36" s="79" t="str">
        <f>'CLASSIFICA ORDINATA'!R35</f>
        <v/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4</v>
      </c>
    </row>
    <row r="37" spans="1:26" ht="20" customHeight="1" x14ac:dyDescent="0.2">
      <c r="A37" s="71">
        <v>14</v>
      </c>
      <c r="B37" s="67" t="str">
        <f>'CLASSIFICA ORDINATA'!B36</f>
        <v>Verce90</v>
      </c>
      <c r="C37" s="67" t="str">
        <f>VLOOKUP(B37,nomi!B:C,2,FALSE)</f>
        <v>TLM Verce90</v>
      </c>
      <c r="D37" s="90" t="str">
        <f>VLOOKUP(B37,nomi!B:G,6,FALSE)</f>
        <v>TLM</v>
      </c>
      <c r="E37" s="139">
        <f>VLOOKUP(B37,nomi!B:I,8,FALSE)</f>
        <v>25</v>
      </c>
      <c r="F37" s="12" t="str">
        <f>'CLASSIFICA ORDINATA'!C36</f>
        <v/>
      </c>
      <c r="G37" s="12">
        <f>'CLASSIFICA ORDINATA'!D36</f>
        <v>1.01</v>
      </c>
      <c r="H37" s="12" t="str">
        <f>'CLASSIFICA ORDINATA'!E36</f>
        <v/>
      </c>
      <c r="I37" s="79">
        <f>'CLASSIFICA ORDINATA'!F36</f>
        <v>1.01</v>
      </c>
      <c r="J37" s="12" t="str">
        <f>'CLASSIFICA ORDINATA'!G36</f>
        <v/>
      </c>
      <c r="K37" s="12">
        <f>'CLASSIFICA ORDINATA'!H36</f>
        <v>1.01</v>
      </c>
      <c r="L37" s="12" t="str">
        <f>'CLASSIFICA ORDINATA'!I36</f>
        <v/>
      </c>
      <c r="M37" s="79">
        <f>'CLASSIFICA ORDINATA'!J36</f>
        <v>1.01</v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2.02</v>
      </c>
    </row>
    <row r="38" spans="1:26" ht="20" customHeight="1" x14ac:dyDescent="0.2">
      <c r="A38" s="71">
        <v>15</v>
      </c>
      <c r="B38" s="67" t="str">
        <f>'CLASSIFICA ORDINATA'!B37</f>
        <v>Mikedb__91__</v>
      </c>
      <c r="C38" s="67" t="str">
        <f>VLOOKUP(B38,nomi!B:C,2,FALSE)</f>
        <v>TLM-Mike91</v>
      </c>
      <c r="D38" s="90" t="str">
        <f>VLOOKUP(B38,nomi!B:G,6,FALSE)</f>
        <v>TLM</v>
      </c>
      <c r="E38" s="139">
        <f>VLOOKUP(B38,nomi!B:I,8,FALSE)</f>
        <v>3</v>
      </c>
      <c r="F38" s="12" t="str">
        <f>'CLASSIFICA ORDINATA'!C37</f>
        <v/>
      </c>
      <c r="G38" s="12">
        <f>'CLASSIFICA ORDINATA'!D37</f>
        <v>1.0009999999999999</v>
      </c>
      <c r="H38" s="12" t="str">
        <f>'CLASSIFICA ORDINATA'!E37</f>
        <v/>
      </c>
      <c r="I38" s="79">
        <f>'CLASSIFICA ORDINATA'!F37</f>
        <v>1.0009999999999999</v>
      </c>
      <c r="J38" s="12" t="str">
        <f>'CLASSIFICA ORDINATA'!G37</f>
        <v/>
      </c>
      <c r="K38" s="12">
        <f>'CLASSIFICA ORDINATA'!H37</f>
        <v>1.0001</v>
      </c>
      <c r="L38" s="12" t="str">
        <f>'CLASSIFICA ORDINATA'!I37</f>
        <v/>
      </c>
      <c r="M38" s="79">
        <f>'CLASSIFICA ORDINATA'!J37</f>
        <v>1.0001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2.0011000000000001</v>
      </c>
    </row>
    <row r="39" spans="1:26" ht="20" customHeight="1" x14ac:dyDescent="0.2">
      <c r="A39" s="71">
        <v>16</v>
      </c>
      <c r="B39" s="67" t="str">
        <f>'CLASSIFICA ORDINATA'!B38</f>
        <v>Chry-77</v>
      </c>
      <c r="C39" s="67" t="str">
        <f>VLOOKUP(B39,nomi!B:C,2,FALSE)</f>
        <v>TLM_Chry-77</v>
      </c>
      <c r="D39" s="90" t="str">
        <f>VLOOKUP(B39,nomi!B:G,6,FALSE)</f>
        <v>TLM</v>
      </c>
      <c r="E39" s="139">
        <f>VLOOKUP(B39,nomi!B:I,8,FALSE)</f>
        <v>77</v>
      </c>
      <c r="F39" s="12" t="str">
        <f>'CLASSIFICA ORDINATA'!C38</f>
        <v/>
      </c>
      <c r="G39" s="12">
        <f>'CLASSIFICA ORDINATA'!D38</f>
        <v>1.0001</v>
      </c>
      <c r="H39" s="12" t="str">
        <f>'CLASSIFICA ORDINATA'!E38</f>
        <v/>
      </c>
      <c r="I39" s="79">
        <f>'CLASSIFICA ORDINATA'!F38</f>
        <v>1.0001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 t="str">
        <f>'CLASSIFICA ORDINATA'!L38</f>
        <v/>
      </c>
      <c r="P39" s="12" t="str">
        <f>'CLASSIFICA ORDINATA'!M38</f>
        <v/>
      </c>
      <c r="Q39" s="79" t="str">
        <f>'CLASSIFICA ORDINATA'!N38</f>
        <v/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1.0001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39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134"/>
      <c r="B41" s="135"/>
      <c r="C41" s="135"/>
      <c r="D41" s="135"/>
      <c r="E41" s="135"/>
      <c r="F41" s="136"/>
      <c r="G41" s="136"/>
      <c r="H41" s="136"/>
      <c r="I41" s="137"/>
      <c r="J41" s="136"/>
      <c r="K41" s="136"/>
      <c r="L41" s="136"/>
      <c r="M41" s="137"/>
      <c r="N41" s="136"/>
      <c r="O41" s="136"/>
      <c r="P41" s="136"/>
      <c r="Q41" s="137"/>
      <c r="R41" s="136"/>
      <c r="S41" s="136"/>
      <c r="T41" s="136"/>
      <c r="U41" s="137"/>
      <c r="V41" s="136"/>
      <c r="W41" s="136"/>
      <c r="X41" s="136"/>
      <c r="Y41" s="137"/>
      <c r="Z41" s="138"/>
    </row>
    <row r="42" spans="1:26" ht="20" customHeight="1" x14ac:dyDescent="0.2">
      <c r="A42" s="134"/>
      <c r="B42" s="135"/>
      <c r="C42" s="135"/>
      <c r="D42" s="135"/>
      <c r="E42" s="135"/>
      <c r="F42" s="136"/>
      <c r="G42" s="136"/>
      <c r="H42" s="136"/>
      <c r="I42" s="137"/>
      <c r="J42" s="136"/>
      <c r="K42" s="136"/>
      <c r="L42" s="136"/>
      <c r="M42" s="137"/>
      <c r="N42" s="136"/>
      <c r="O42" s="136"/>
      <c r="P42" s="136"/>
      <c r="Q42" s="137"/>
      <c r="R42" s="136"/>
      <c r="S42" s="136"/>
      <c r="T42" s="136"/>
      <c r="U42" s="137"/>
      <c r="V42" s="136"/>
      <c r="W42" s="136"/>
      <c r="X42" s="136"/>
      <c r="Y42" s="137"/>
      <c r="Z42" s="138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08" t="s">
        <v>38</v>
      </c>
      <c r="B44" s="114"/>
      <c r="C44" s="109"/>
      <c r="D44" s="54"/>
      <c r="F44" s="105" t="s">
        <v>411</v>
      </c>
      <c r="G44" s="106"/>
      <c r="H44" s="106"/>
      <c r="I44" s="107"/>
      <c r="J44" s="105" t="s">
        <v>412</v>
      </c>
      <c r="K44" s="106"/>
      <c r="L44" s="106"/>
      <c r="M44" s="107"/>
      <c r="N44" s="105" t="s">
        <v>413</v>
      </c>
      <c r="O44" s="106"/>
      <c r="P44" s="106"/>
      <c r="Q44" s="107"/>
      <c r="R44" s="105" t="s">
        <v>414</v>
      </c>
      <c r="S44" s="106"/>
      <c r="T44" s="106"/>
      <c r="U44" s="107"/>
      <c r="V44" s="105" t="s">
        <v>415</v>
      </c>
      <c r="W44" s="106"/>
      <c r="X44" s="106"/>
      <c r="Y44" s="107"/>
      <c r="Z44" s="117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18"/>
    </row>
    <row r="46" spans="1:26" ht="20" customHeight="1" x14ac:dyDescent="0.25">
      <c r="A46" s="72">
        <v>1</v>
      </c>
      <c r="B46" s="58" t="str">
        <f>'CLASSIFICA ORDINATA'!B69</f>
        <v>mattebenny</v>
      </c>
      <c r="C46" s="59" t="str">
        <f>VLOOKUP(B46,nomi!B:C,2,FALSE)</f>
        <v>Benny89</v>
      </c>
      <c r="D46" s="59" t="str">
        <f>VLOOKUP(B46,nomi!B:G,6,FALSE)</f>
        <v>TLM</v>
      </c>
      <c r="F46" s="12" t="str">
        <f>'CLASSIFICA ORDINATA'!C69</f>
        <v/>
      </c>
      <c r="G46" s="12" t="str">
        <f>'CLASSIFICA ORDINATA'!D69</f>
        <v/>
      </c>
      <c r="H46" s="12" t="str">
        <f>'CLASSIFICA ORDINATA'!E69</f>
        <v/>
      </c>
      <c r="I46" s="79" t="str">
        <f>'CLASSIFICA ORDINATA'!F69</f>
        <v/>
      </c>
      <c r="J46" s="12" t="str">
        <f>'CLASSIFICA ORDINATA'!G69</f>
        <v/>
      </c>
      <c r="K46" s="12">
        <f>'CLASSIFICA ORDINATA'!H69</f>
        <v>10</v>
      </c>
      <c r="L46" s="12" t="str">
        <f>'CLASSIFICA ORDINATA'!I69</f>
        <v/>
      </c>
      <c r="M46" s="79">
        <f>'CLASSIFICA ORDINATA'!J69</f>
        <v>10</v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 t="str">
        <f>'CLASSIFICA ORDINATA'!P69</f>
        <v/>
      </c>
      <c r="T46" s="12" t="str">
        <f>'CLASSIFICA ORDINATA'!Q69</f>
        <v/>
      </c>
      <c r="U46" s="79" t="str">
        <f>'CLASSIFICA ORDINATA'!R69</f>
        <v/>
      </c>
      <c r="V46" s="12" t="str">
        <f>'CLASSIFICA ORDINATA'!S69</f>
        <v/>
      </c>
      <c r="W46" s="12" t="str">
        <f>'CLASSIFICA ORDINATA'!T69</f>
        <v/>
      </c>
      <c r="X46" s="12" t="str">
        <f>'CLASSIFICA ORDINATA'!U69</f>
        <v/>
      </c>
      <c r="Y46" s="79" t="str">
        <f>'CLASSIFICA ORDINATA'!V69</f>
        <v/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Asseemazz</v>
      </c>
      <c r="C47" s="59" t="str">
        <f>VLOOKUP(B47,nomi!B:C,2,FALSE)</f>
        <v>TLM_GAMMA</v>
      </c>
      <c r="D47" s="59" t="str">
        <f>VLOOKUP(B47,nomi!B:G,6,FALSE)</f>
        <v>TLM</v>
      </c>
      <c r="F47" s="12" t="str">
        <f>'CLASSIFICA ORDINATA'!C70</f>
        <v/>
      </c>
      <c r="G47" s="12">
        <f>'CLASSIFICA ORDINATA'!D70</f>
        <v>4</v>
      </c>
      <c r="H47" s="12" t="str">
        <f>'CLASSIFICA ORDINATA'!E70</f>
        <v/>
      </c>
      <c r="I47" s="79">
        <f>'CLASSIFICA ORDINATA'!F70</f>
        <v>4</v>
      </c>
      <c r="J47" s="12" t="str">
        <f>'CLASSIFICA ORDINATA'!G70</f>
        <v/>
      </c>
      <c r="K47" s="12" t="str">
        <f>'CLASSIFICA ORDINATA'!H70</f>
        <v/>
      </c>
      <c r="L47" s="12" t="str">
        <f>'CLASSIFICA ORDINATA'!I70</f>
        <v/>
      </c>
      <c r="M47" s="79" t="str">
        <f>'CLASSIFICA ORDINATA'!J70</f>
        <v/>
      </c>
      <c r="N47" s="12" t="str">
        <f>'CLASSIFICA ORDINATA'!K70</f>
        <v/>
      </c>
      <c r="O47" s="12" t="str">
        <f>'CLASSIFICA ORDINATA'!L70</f>
        <v/>
      </c>
      <c r="P47" s="12" t="str">
        <f>'CLASSIFICA ORDINATA'!M70</f>
        <v/>
      </c>
      <c r="Q47" s="79" t="str">
        <f>'CLASSIFICA ORDINATA'!N70</f>
        <v/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9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CTR_ocior-78</v>
      </c>
      <c r="C48" s="59" t="str">
        <f>VLOOKUP(B48,nomi!B:C,2,FALSE)</f>
        <v>TLM-Ocior78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2</v>
      </c>
      <c r="H48" s="12" t="str">
        <f>'CLASSIFICA ORDINATA'!E71</f>
        <v/>
      </c>
      <c r="I48" s="79">
        <f>'CLASSIFICA ORDINATA'!F71</f>
        <v>2</v>
      </c>
      <c r="J48" s="12" t="str">
        <f>'CLASSIFICA ORDINATA'!G71</f>
        <v/>
      </c>
      <c r="K48" s="12">
        <f>'CLASSIFICA ORDINATA'!H71</f>
        <v>2</v>
      </c>
      <c r="L48" s="12" t="str">
        <f>'CLASSIFICA ORDINATA'!I71</f>
        <v/>
      </c>
      <c r="M48" s="79">
        <f>'CLASSIFICA ORDINATA'!J71</f>
        <v>2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9" t="str">
        <f>'CLASSIFICA ORDINATA'!N71</f>
        <v/>
      </c>
      <c r="R48" s="12" t="str">
        <f>'CLASSIFICA ORDINATA'!O71</f>
        <v/>
      </c>
      <c r="S48" s="12" t="str">
        <f>'CLASSIFICA ORDINATA'!P71</f>
        <v/>
      </c>
      <c r="T48" s="12" t="str">
        <f>'CLASSIFICA ORDINATA'!Q71</f>
        <v/>
      </c>
      <c r="U48" s="79" t="str">
        <f>'CLASSIFICA ORDINATA'!R71</f>
        <v/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Verce90</v>
      </c>
      <c r="C49" s="59" t="str">
        <f>VLOOKUP(B49,nomi!B:C,2,FALSE)</f>
        <v>TLM Verce90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1.01</v>
      </c>
      <c r="H49" s="12" t="str">
        <f>'CLASSIFICA ORDINATA'!E72</f>
        <v/>
      </c>
      <c r="I49" s="79">
        <f>'CLASSIFICA ORDINATA'!F72</f>
        <v>1.01</v>
      </c>
      <c r="J49" s="12" t="str">
        <f>'CLASSIFICA ORDINATA'!G72</f>
        <v/>
      </c>
      <c r="K49" s="12">
        <f>'CLASSIFICA ORDINATA'!H72</f>
        <v>1.01</v>
      </c>
      <c r="L49" s="12" t="str">
        <f>'CLASSIFICA ORDINATA'!I72</f>
        <v/>
      </c>
      <c r="M49" s="79">
        <f>'CLASSIFICA ORDINATA'!J72</f>
        <v>1.01</v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9" t="str">
        <f>'CLASSIFICA ORDINATA'!N72</f>
        <v/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9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Mikedb__91__</v>
      </c>
      <c r="C50" s="59" t="str">
        <f>VLOOKUP(B50,nomi!B:C,2,FALSE)</f>
        <v>TLM-Mike91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1.0009999999999999</v>
      </c>
      <c r="H50" s="12" t="str">
        <f>'CLASSIFICA ORDINATA'!E73</f>
        <v/>
      </c>
      <c r="I50" s="79">
        <f>'CLASSIFICA ORDINATA'!F73</f>
        <v>1.0009999999999999</v>
      </c>
      <c r="J50" s="12" t="str">
        <f>'CLASSIFICA ORDINATA'!G73</f>
        <v/>
      </c>
      <c r="K50" s="12">
        <f>'CLASSIFICA ORDINATA'!H73</f>
        <v>1.0001</v>
      </c>
      <c r="L50" s="12" t="str">
        <f>'CLASSIFICA ORDINATA'!I73</f>
        <v/>
      </c>
      <c r="M50" s="79">
        <f>'CLASSIFICA ORDINATA'!J73</f>
        <v>1.0001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9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Chry-77</v>
      </c>
      <c r="C51" s="59" t="str">
        <f>VLOOKUP(B51,nomi!B:C,2,FALSE)</f>
        <v>TLM_Chry-77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1.0001</v>
      </c>
      <c r="H51" s="12" t="str">
        <f>'CLASSIFICA ORDINATA'!E74</f>
        <v/>
      </c>
      <c r="I51" s="79">
        <f>'CLASSIFICA ORDINATA'!F74</f>
        <v>1.0001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 t="str">
        <f>'CLASSIFICA ORDINATA'!L74</f>
        <v/>
      </c>
      <c r="P51" s="12" t="str">
        <f>'CLASSIFICA ORDINATA'!M74</f>
        <v/>
      </c>
      <c r="Q51" s="79" t="str">
        <f>'CLASSIFICA ORDINATA'!N74</f>
        <v/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6" sqref="B6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8" t="s">
        <v>416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3" ht="16" customHeight="1" x14ac:dyDescent="0.2">
      <c r="A2" s="97" t="s">
        <v>0</v>
      </c>
      <c r="B2" s="103" t="s">
        <v>14</v>
      </c>
      <c r="C2" s="105" t="s">
        <v>411</v>
      </c>
      <c r="D2" s="106"/>
      <c r="E2" s="106"/>
      <c r="F2" s="107"/>
      <c r="G2" s="105" t="s">
        <v>412</v>
      </c>
      <c r="H2" s="106"/>
      <c r="I2" s="106"/>
      <c r="J2" s="107"/>
      <c r="K2" s="105" t="s">
        <v>413</v>
      </c>
      <c r="L2" s="106"/>
      <c r="M2" s="106"/>
      <c r="N2" s="107"/>
      <c r="O2" s="105" t="s">
        <v>414</v>
      </c>
      <c r="P2" s="106"/>
      <c r="Q2" s="106"/>
      <c r="R2" s="107"/>
      <c r="S2" s="105" t="s">
        <v>415</v>
      </c>
      <c r="T2" s="106"/>
      <c r="U2" s="106"/>
      <c r="V2" s="107"/>
      <c r="W2" s="104" t="s">
        <v>33</v>
      </c>
    </row>
    <row r="3" spans="1:23" ht="27" x14ac:dyDescent="0.2">
      <c r="A3" s="97"/>
      <c r="B3" s="103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04"/>
    </row>
    <row r="4" spans="1:23" ht="19" x14ac:dyDescent="0.2">
      <c r="A4" s="99" t="s">
        <v>29</v>
      </c>
      <c r="B4" s="100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Generale'!J5:J21,-1)=0,"",_xlfn.SORTBY('Classifica Generale'!B5:W21,'Classifica Generale'!J5:J21,-1))</f>
        <v>andvea_99</v>
      </c>
      <c r="C5" s="12" t="str">
        <v/>
      </c>
      <c r="D5" s="12" t="str">
        <v/>
      </c>
      <c r="E5" s="12" t="str">
        <v/>
      </c>
      <c r="F5" s="39" t="str">
        <v/>
      </c>
      <c r="G5" s="12">
        <v>1</v>
      </c>
      <c r="H5" s="12">
        <v>25</v>
      </c>
      <c r="I5" s="12" t="str">
        <v/>
      </c>
      <c r="J5" s="39">
        <v>26</v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>
        <v>26</v>
      </c>
    </row>
    <row r="6" spans="1:23" ht="18" x14ac:dyDescent="0.25">
      <c r="A6" s="26" t="s">
        <v>3</v>
      </c>
      <c r="B6" s="43" t="str">
        <v>TLM_SKIZZO 34</v>
      </c>
      <c r="C6" s="20" t="str">
        <v/>
      </c>
      <c r="D6" s="20">
        <v>20</v>
      </c>
      <c r="E6" s="20">
        <v>1</v>
      </c>
      <c r="F6" s="39">
        <v>21</v>
      </c>
      <c r="G6" s="20" t="str">
        <v/>
      </c>
      <c r="H6" s="20">
        <v>20</v>
      </c>
      <c r="I6" s="20" t="str">
        <v/>
      </c>
      <c r="J6" s="39">
        <v>20</v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>
        <v>41</v>
      </c>
    </row>
    <row r="7" spans="1:23" ht="18" x14ac:dyDescent="0.25">
      <c r="A7" s="27" t="s">
        <v>4</v>
      </c>
      <c r="B7" s="43" t="str">
        <v>Bobgre93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>
        <v>18</v>
      </c>
      <c r="I7" s="12" t="str">
        <v/>
      </c>
      <c r="J7" s="39">
        <v>18</v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>
        <v>18</v>
      </c>
    </row>
    <row r="8" spans="1:23" ht="18" x14ac:dyDescent="0.25">
      <c r="A8" s="28" t="s">
        <v>5</v>
      </c>
      <c r="B8" s="43" t="str">
        <v>mattebenny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>
        <v>16</v>
      </c>
      <c r="I8" s="12" t="str">
        <v/>
      </c>
      <c r="J8" s="39">
        <v>16</v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>
        <v>16</v>
      </c>
    </row>
    <row r="9" spans="1:23" ht="18" x14ac:dyDescent="0.25">
      <c r="A9" s="28" t="s">
        <v>6</v>
      </c>
      <c r="B9" s="43" t="str">
        <v>selpa974</v>
      </c>
      <c r="C9" s="40" t="str">
        <v/>
      </c>
      <c r="D9" s="20">
        <v>16</v>
      </c>
      <c r="E9" s="20" t="str">
        <v/>
      </c>
      <c r="F9" s="39">
        <v>16</v>
      </c>
      <c r="G9" s="40" t="str">
        <v/>
      </c>
      <c r="H9" s="20">
        <v>14</v>
      </c>
      <c r="I9" s="20">
        <v>1</v>
      </c>
      <c r="J9" s="39">
        <v>15</v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>
        <v>31</v>
      </c>
    </row>
    <row r="10" spans="1:23" ht="18" x14ac:dyDescent="0.25">
      <c r="A10" s="28" t="s">
        <v>7</v>
      </c>
      <c r="B10" s="43" t="str">
        <v>Liotru1979</v>
      </c>
      <c r="C10" s="12" t="str">
        <v/>
      </c>
      <c r="D10" s="12">
        <v>1.0009999999999999</v>
      </c>
      <c r="E10" s="12" t="str">
        <v/>
      </c>
      <c r="F10" s="39">
        <v>1.0009999999999999</v>
      </c>
      <c r="G10" s="12" t="str">
        <v/>
      </c>
      <c r="H10" s="12">
        <v>12</v>
      </c>
      <c r="I10" s="12" t="str">
        <v/>
      </c>
      <c r="J10" s="39">
        <v>12</v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>
        <v>13.000999999999999</v>
      </c>
    </row>
    <row r="11" spans="1:23" ht="18" x14ac:dyDescent="0.25">
      <c r="A11" s="29" t="s">
        <v>8</v>
      </c>
      <c r="B11" s="43" t="str">
        <v>TheGuarny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>
        <v>10</v>
      </c>
      <c r="I11" s="12" t="str">
        <v/>
      </c>
      <c r="J11" s="39">
        <v>10</v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>
        <v>10</v>
      </c>
    </row>
    <row r="12" spans="1:23" ht="18" x14ac:dyDescent="0.25">
      <c r="A12" s="29" t="s">
        <v>9</v>
      </c>
      <c r="B12" s="43" t="str">
        <v>xRUA85x</v>
      </c>
      <c r="C12" s="12" t="str">
        <v/>
      </c>
      <c r="D12" s="12">
        <v>12</v>
      </c>
      <c r="E12" s="12" t="str">
        <v/>
      </c>
      <c r="F12" s="39">
        <v>12</v>
      </c>
      <c r="G12" s="12" t="str">
        <v/>
      </c>
      <c r="H12" s="12">
        <v>6</v>
      </c>
      <c r="I12" s="12" t="str">
        <v/>
      </c>
      <c r="J12" s="39">
        <v>6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18</v>
      </c>
    </row>
    <row r="13" spans="1:23" ht="18" x14ac:dyDescent="0.25">
      <c r="A13" s="28" t="s">
        <v>10</v>
      </c>
      <c r="B13" s="43" t="str">
        <v>Rupetheking</v>
      </c>
      <c r="C13" s="12" t="str">
        <v/>
      </c>
      <c r="D13" s="12">
        <v>18</v>
      </c>
      <c r="E13" s="12" t="str">
        <v/>
      </c>
      <c r="F13" s="39">
        <v>18</v>
      </c>
      <c r="G13" s="12" t="str">
        <v/>
      </c>
      <c r="H13" s="12">
        <v>4</v>
      </c>
      <c r="I13" s="12" t="str">
        <v/>
      </c>
      <c r="J13" s="39">
        <v>4</v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>
        <v>22</v>
      </c>
    </row>
    <row r="14" spans="1:23" ht="18" x14ac:dyDescent="0.25">
      <c r="A14" s="28" t="s">
        <v>11</v>
      </c>
      <c r="B14" s="43" t="str">
        <v>TLM_wid83</v>
      </c>
      <c r="C14" s="12" t="str">
        <v/>
      </c>
      <c r="D14" s="12">
        <v>6</v>
      </c>
      <c r="E14" s="12" t="str">
        <v/>
      </c>
      <c r="F14" s="39">
        <v>6</v>
      </c>
      <c r="G14" s="12" t="str">
        <v/>
      </c>
      <c r="H14" s="12">
        <v>2</v>
      </c>
      <c r="I14" s="12" t="str">
        <v/>
      </c>
      <c r="J14" s="39">
        <v>2</v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>
        <v>8</v>
      </c>
    </row>
    <row r="15" spans="1:23" ht="18" x14ac:dyDescent="0.25">
      <c r="A15" s="28" t="s">
        <v>12</v>
      </c>
      <c r="B15" s="43" t="str">
        <v>Silentium884</v>
      </c>
      <c r="C15" s="40" t="str">
        <v/>
      </c>
      <c r="D15" s="20">
        <v>14</v>
      </c>
      <c r="E15" s="20" t="str">
        <v/>
      </c>
      <c r="F15" s="39">
        <v>14</v>
      </c>
      <c r="G15" s="40" t="str">
        <v/>
      </c>
      <c r="H15" s="20">
        <v>1.01</v>
      </c>
      <c r="I15" s="20" t="str">
        <v/>
      </c>
      <c r="J15" s="39">
        <v>1.01</v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15.01</v>
      </c>
    </row>
    <row r="16" spans="1:23" ht="18" x14ac:dyDescent="0.25">
      <c r="A16" s="28" t="s">
        <v>13</v>
      </c>
      <c r="B16" s="43" t="str">
        <v>Isnotacrime</v>
      </c>
      <c r="C16" s="12" t="str">
        <v/>
      </c>
      <c r="D16" s="12">
        <v>2</v>
      </c>
      <c r="E16" s="12" t="str">
        <v/>
      </c>
      <c r="F16" s="39">
        <v>2</v>
      </c>
      <c r="G16" s="12" t="str">
        <v/>
      </c>
      <c r="H16" s="12">
        <v>1.0009999999999999</v>
      </c>
      <c r="I16" s="12" t="str">
        <v/>
      </c>
      <c r="J16" s="39">
        <v>1.0009999999999999</v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3.0009999999999999</v>
      </c>
    </row>
    <row r="17" spans="1:23" ht="18" x14ac:dyDescent="0.25">
      <c r="A17" s="29" t="s">
        <v>20</v>
      </c>
      <c r="B17" s="43" t="str">
        <v>Verce90</v>
      </c>
      <c r="C17" s="12" t="str">
        <v/>
      </c>
      <c r="D17" s="12">
        <v>1.0001</v>
      </c>
      <c r="E17" s="12" t="str">
        <v/>
      </c>
      <c r="F17" s="39">
        <v>1.0001</v>
      </c>
      <c r="G17" s="12" t="str">
        <v/>
      </c>
      <c r="H17" s="12">
        <v>1.0001</v>
      </c>
      <c r="I17" s="12" t="str">
        <v/>
      </c>
      <c r="J17" s="39">
        <v>1.0001</v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2.0002</v>
      </c>
    </row>
    <row r="18" spans="1:23" ht="18" x14ac:dyDescent="0.25">
      <c r="A18" s="29" t="s">
        <v>21</v>
      </c>
      <c r="B18" s="43" t="str">
        <v>Patanel86</v>
      </c>
      <c r="C18" s="12">
        <v>1</v>
      </c>
      <c r="D18" s="12">
        <v>25</v>
      </c>
      <c r="E18" s="12" t="str">
        <v/>
      </c>
      <c r="F18" s="39">
        <v>26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26</v>
      </c>
    </row>
    <row r="19" spans="1:23" ht="18" x14ac:dyDescent="0.25">
      <c r="A19" s="29" t="s">
        <v>409</v>
      </c>
      <c r="B19" s="43" t="str">
        <v>TLM_Kappa</v>
      </c>
      <c r="C19" s="20" t="str">
        <v/>
      </c>
      <c r="D19" s="20">
        <v>4</v>
      </c>
      <c r="E19" s="20" t="str">
        <v/>
      </c>
      <c r="F19" s="39">
        <v>4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4</v>
      </c>
    </row>
    <row r="20" spans="1:23" ht="18" x14ac:dyDescent="0.25">
      <c r="A20" s="30" t="s">
        <v>410</v>
      </c>
      <c r="B20" s="44" t="str">
        <v>Ulix1990</v>
      </c>
      <c r="C20" s="20" t="str">
        <v/>
      </c>
      <c r="D20" s="20">
        <v>10</v>
      </c>
      <c r="E20" s="20" t="str">
        <v/>
      </c>
      <c r="F20" s="39">
        <v>10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10</v>
      </c>
    </row>
    <row r="21" spans="1:23" ht="18" x14ac:dyDescent="0.25">
      <c r="A21" s="5" t="s">
        <v>428</v>
      </c>
      <c r="B21" s="43" t="str">
        <v>Asseemazz</v>
      </c>
      <c r="C21" s="20" t="str">
        <v/>
      </c>
      <c r="D21" s="20">
        <v>1.01</v>
      </c>
      <c r="E21" s="20" t="str">
        <v/>
      </c>
      <c r="F21" s="39">
        <v>1.01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1.01</v>
      </c>
    </row>
    <row r="22" spans="1:23" ht="19" x14ac:dyDescent="0.2">
      <c r="A22" s="101" t="s">
        <v>30</v>
      </c>
      <c r="B22" s="102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Generale'!J23:J39,-1)=0,"",_xlfn.SORTBY('Classifica Generale'!B23:W39,'Classifica Generale'!J23:J39,-1))</f>
        <v>andvea_99</v>
      </c>
      <c r="C23" s="12" t="str">
        <v/>
      </c>
      <c r="D23" s="12" t="str">
        <v/>
      </c>
      <c r="E23" s="12" t="str">
        <v/>
      </c>
      <c r="F23" s="39" t="str">
        <v/>
      </c>
      <c r="G23" s="12" t="str">
        <v/>
      </c>
      <c r="H23" s="12">
        <v>25</v>
      </c>
      <c r="I23" s="12" t="str">
        <v/>
      </c>
      <c r="J23" s="39">
        <v>25</v>
      </c>
      <c r="K23" s="12" t="str">
        <v/>
      </c>
      <c r="L23" s="12" t="str">
        <v/>
      </c>
      <c r="M23" s="12" t="str">
        <v/>
      </c>
      <c r="N23" s="39" t="str">
        <v/>
      </c>
      <c r="O23" s="12" t="str">
        <v/>
      </c>
      <c r="P23" s="12" t="str">
        <v/>
      </c>
      <c r="Q23" s="12" t="str">
        <v/>
      </c>
      <c r="R23" s="39" t="str">
        <v/>
      </c>
      <c r="S23" s="12" t="str">
        <v/>
      </c>
      <c r="T23" s="12" t="str">
        <v/>
      </c>
      <c r="U23" s="12" t="str">
        <v/>
      </c>
      <c r="V23" s="39" t="str">
        <v/>
      </c>
      <c r="W23" s="24">
        <v>25</v>
      </c>
    </row>
    <row r="24" spans="1:23" ht="18" x14ac:dyDescent="0.25">
      <c r="A24" s="26" t="s">
        <v>3</v>
      </c>
      <c r="B24" s="43" t="str">
        <v>Parenji</v>
      </c>
      <c r="C24" s="20">
        <v>1</v>
      </c>
      <c r="D24" s="20">
        <v>20</v>
      </c>
      <c r="E24" s="20">
        <v>1</v>
      </c>
      <c r="F24" s="39">
        <v>22</v>
      </c>
      <c r="G24" s="20">
        <v>1</v>
      </c>
      <c r="H24" s="20">
        <v>20</v>
      </c>
      <c r="I24" s="20" t="str">
        <v/>
      </c>
      <c r="J24" s="39">
        <v>21</v>
      </c>
      <c r="K24" s="20" t="str">
        <v/>
      </c>
      <c r="L24" s="20" t="str">
        <v/>
      </c>
      <c r="M24" s="20" t="str">
        <v/>
      </c>
      <c r="N24" s="39" t="str">
        <v/>
      </c>
      <c r="O24" s="20" t="str">
        <v/>
      </c>
      <c r="P24" s="20" t="str">
        <v/>
      </c>
      <c r="Q24" s="20" t="str">
        <v/>
      </c>
      <c r="R24" s="39" t="str">
        <v/>
      </c>
      <c r="S24" s="20" t="str">
        <v/>
      </c>
      <c r="T24" s="20" t="str">
        <v/>
      </c>
      <c r="U24" s="20" t="str">
        <v/>
      </c>
      <c r="V24" s="39" t="str">
        <v/>
      </c>
      <c r="W24" s="24">
        <v>43</v>
      </c>
    </row>
    <row r="25" spans="1:23" ht="18" x14ac:dyDescent="0.25">
      <c r="A25" s="27" t="s">
        <v>4</v>
      </c>
      <c r="B25" s="43" t="str">
        <v>TLM_SKIZZO 34</v>
      </c>
      <c r="C25" s="12" t="str">
        <v/>
      </c>
      <c r="D25" s="12">
        <v>16</v>
      </c>
      <c r="E25" s="12" t="str">
        <v/>
      </c>
      <c r="F25" s="39">
        <v>16</v>
      </c>
      <c r="G25" s="12" t="str">
        <v/>
      </c>
      <c r="H25" s="12">
        <v>18</v>
      </c>
      <c r="I25" s="12" t="str">
        <v/>
      </c>
      <c r="J25" s="39">
        <v>18</v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>
        <v>34</v>
      </c>
    </row>
    <row r="26" spans="1:23" ht="18" x14ac:dyDescent="0.25">
      <c r="A26" s="28" t="s">
        <v>5</v>
      </c>
      <c r="B26" s="43" t="str">
        <v>Tonyroto74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16</v>
      </c>
      <c r="I26" s="12" t="str">
        <v/>
      </c>
      <c r="J26" s="39">
        <v>16</v>
      </c>
      <c r="K26" s="12" t="str">
        <v/>
      </c>
      <c r="L26" s="12" t="str">
        <v/>
      </c>
      <c r="M26" s="12" t="str">
        <v/>
      </c>
      <c r="N26" s="39" t="str">
        <v/>
      </c>
      <c r="O26" s="12" t="str">
        <v/>
      </c>
      <c r="P26" s="12" t="str">
        <v/>
      </c>
      <c r="Q26" s="12" t="str">
        <v/>
      </c>
      <c r="R26" s="39" t="str">
        <v/>
      </c>
      <c r="S26" s="12" t="str">
        <v/>
      </c>
      <c r="T26" s="12" t="str">
        <v/>
      </c>
      <c r="U26" s="12" t="str">
        <v/>
      </c>
      <c r="V26" s="39" t="str">
        <v/>
      </c>
      <c r="W26" s="24">
        <v>16</v>
      </c>
    </row>
    <row r="27" spans="1:23" ht="18" x14ac:dyDescent="0.25">
      <c r="A27" s="28" t="s">
        <v>6</v>
      </c>
      <c r="B27" s="43" t="str">
        <v>mark126p</v>
      </c>
      <c r="C27" s="40" t="str">
        <v/>
      </c>
      <c r="D27" s="20">
        <v>10</v>
      </c>
      <c r="E27" s="20" t="str">
        <v/>
      </c>
      <c r="F27" s="39">
        <v>10</v>
      </c>
      <c r="G27" s="40" t="str">
        <v/>
      </c>
      <c r="H27" s="20">
        <v>14</v>
      </c>
      <c r="I27" s="20" t="str">
        <v/>
      </c>
      <c r="J27" s="39">
        <v>14</v>
      </c>
      <c r="K27" s="40" t="str">
        <v/>
      </c>
      <c r="L27" s="20" t="str">
        <v/>
      </c>
      <c r="M27" s="20" t="str">
        <v/>
      </c>
      <c r="N27" s="39" t="str">
        <v/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24</v>
      </c>
    </row>
    <row r="28" spans="1:23" ht="18" x14ac:dyDescent="0.25">
      <c r="A28" s="28" t="s">
        <v>7</v>
      </c>
      <c r="B28" s="43" t="str">
        <v>Rupetheking</v>
      </c>
      <c r="C28" s="12" t="str">
        <v/>
      </c>
      <c r="D28" s="12">
        <v>25</v>
      </c>
      <c r="E28" s="12" t="str">
        <v/>
      </c>
      <c r="F28" s="39">
        <v>25</v>
      </c>
      <c r="G28" s="12" t="str">
        <v/>
      </c>
      <c r="H28" s="12">
        <v>12</v>
      </c>
      <c r="I28" s="12">
        <v>1</v>
      </c>
      <c r="J28" s="39">
        <v>13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38</v>
      </c>
    </row>
    <row r="29" spans="1:23" ht="18" x14ac:dyDescent="0.25">
      <c r="A29" s="29" t="s">
        <v>8</v>
      </c>
      <c r="B29" s="43" t="str">
        <v>mattebenny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>
        <v>10</v>
      </c>
      <c r="I29" s="12" t="str">
        <v/>
      </c>
      <c r="J29" s="39">
        <v>10</v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>
        <v>10</v>
      </c>
    </row>
    <row r="30" spans="1:23" ht="18" x14ac:dyDescent="0.25">
      <c r="A30" s="29" t="s">
        <v>9</v>
      </c>
      <c r="B30" s="43" t="str">
        <v>TLM_dimaa66</v>
      </c>
      <c r="C30" s="12" t="str">
        <v/>
      </c>
      <c r="D30" s="12">
        <v>14</v>
      </c>
      <c r="E30" s="12" t="str">
        <v/>
      </c>
      <c r="F30" s="39">
        <v>14</v>
      </c>
      <c r="G30" s="12" t="str">
        <v/>
      </c>
      <c r="H30" s="12">
        <v>6</v>
      </c>
      <c r="I30" s="12" t="str">
        <v/>
      </c>
      <c r="J30" s="39">
        <v>6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20</v>
      </c>
    </row>
    <row r="31" spans="1:23" ht="18" x14ac:dyDescent="0.25">
      <c r="A31" s="28" t="s">
        <v>10</v>
      </c>
      <c r="B31" s="43" t="str">
        <v>Febshy</v>
      </c>
      <c r="C31" s="12" t="str">
        <v/>
      </c>
      <c r="D31" s="12">
        <v>6</v>
      </c>
      <c r="E31" s="12" t="str">
        <v/>
      </c>
      <c r="F31" s="39">
        <v>6</v>
      </c>
      <c r="G31" s="12" t="str">
        <v/>
      </c>
      <c r="H31" s="12">
        <v>4</v>
      </c>
      <c r="I31" s="12" t="str">
        <v/>
      </c>
      <c r="J31" s="39">
        <v>4</v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10</v>
      </c>
    </row>
    <row r="32" spans="1:23" ht="18" x14ac:dyDescent="0.25">
      <c r="A32" s="28" t="s">
        <v>11</v>
      </c>
      <c r="B32" s="43" t="str">
        <v>CTR_ocior-78</v>
      </c>
      <c r="C32" s="12" t="str">
        <v/>
      </c>
      <c r="D32" s="12">
        <v>2</v>
      </c>
      <c r="E32" s="12" t="str">
        <v/>
      </c>
      <c r="F32" s="39">
        <v>2</v>
      </c>
      <c r="G32" s="12" t="str">
        <v/>
      </c>
      <c r="H32" s="12">
        <v>2</v>
      </c>
      <c r="I32" s="12" t="str">
        <v/>
      </c>
      <c r="J32" s="39">
        <v>2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4</v>
      </c>
    </row>
    <row r="33" spans="1:23" ht="18" x14ac:dyDescent="0.25">
      <c r="A33" s="28" t="s">
        <v>12</v>
      </c>
      <c r="B33" s="43" t="str">
        <v>Verce90</v>
      </c>
      <c r="C33" s="40" t="str">
        <v/>
      </c>
      <c r="D33" s="20">
        <v>1.01</v>
      </c>
      <c r="E33" s="20" t="str">
        <v/>
      </c>
      <c r="F33" s="39">
        <v>1.01</v>
      </c>
      <c r="G33" s="40" t="str">
        <v/>
      </c>
      <c r="H33" s="20">
        <v>1.01</v>
      </c>
      <c r="I33" s="20" t="str">
        <v/>
      </c>
      <c r="J33" s="39">
        <v>1.01</v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 t="str">
        <v/>
      </c>
      <c r="Q33" s="20" t="str">
        <v/>
      </c>
      <c r="R33" s="39" t="str">
        <v/>
      </c>
      <c r="S33" s="40" t="str">
        <v/>
      </c>
      <c r="T33" s="20" t="str">
        <v/>
      </c>
      <c r="U33" s="20" t="str">
        <v/>
      </c>
      <c r="V33" s="39" t="str">
        <v/>
      </c>
      <c r="W33" s="24">
        <v>2.02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Mikedb__91__</v>
      </c>
      <c r="C35" s="12" t="str">
        <v/>
      </c>
      <c r="D35" s="12">
        <v>1.0009999999999999</v>
      </c>
      <c r="E35" s="12" t="str">
        <v/>
      </c>
      <c r="F35" s="39">
        <v>1.0009999999999999</v>
      </c>
      <c r="G35" s="12" t="str">
        <v/>
      </c>
      <c r="H35" s="12">
        <v>1.0001</v>
      </c>
      <c r="I35" s="12" t="str">
        <v/>
      </c>
      <c r="J35" s="39">
        <v>1.0001</v>
      </c>
      <c r="K35" s="12" t="str">
        <v/>
      </c>
      <c r="L35" s="12" t="str">
        <v/>
      </c>
      <c r="M35" s="12" t="str">
        <v/>
      </c>
      <c r="N35" s="39" t="str">
        <v/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2.0011000000000001</v>
      </c>
    </row>
    <row r="36" spans="1:23" ht="18" x14ac:dyDescent="0.25">
      <c r="A36" s="29" t="s">
        <v>21</v>
      </c>
      <c r="B36" s="43" t="str">
        <v>TLM_Sicily22</v>
      </c>
      <c r="C36" s="12" t="str">
        <v/>
      </c>
      <c r="D36" s="12" t="str">
        <v/>
      </c>
      <c r="E36" s="12" t="str">
        <v/>
      </c>
      <c r="F36" s="39" t="str">
        <v/>
      </c>
      <c r="G36" s="40" t="str">
        <v/>
      </c>
      <c r="H36" s="20">
        <v>1.0000100000000001</v>
      </c>
      <c r="I36" s="20" t="str">
        <v/>
      </c>
      <c r="J36" s="39">
        <v>1.0000100000000001</v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1.0000100000000001</v>
      </c>
    </row>
    <row r="37" spans="1:23" ht="18" x14ac:dyDescent="0.25">
      <c r="A37" s="29" t="s">
        <v>409</v>
      </c>
      <c r="B37" s="43" t="str">
        <v>Chry-77</v>
      </c>
      <c r="C37" s="20" t="str">
        <v/>
      </c>
      <c r="D37" s="20">
        <v>1.0001</v>
      </c>
      <c r="E37" s="20" t="str">
        <v/>
      </c>
      <c r="F37" s="39">
        <v>1.0001</v>
      </c>
      <c r="G37" s="12" t="str">
        <v/>
      </c>
      <c r="H37" s="12" t="str">
        <v/>
      </c>
      <c r="I37" s="12" t="str">
        <v/>
      </c>
      <c r="J37" s="39" t="str">
        <v/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1.0001</v>
      </c>
    </row>
    <row r="38" spans="1:23" ht="18" x14ac:dyDescent="0.25">
      <c r="A38" s="30" t="s">
        <v>410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 t="str">
        <v/>
      </c>
      <c r="M38" s="20" t="str">
        <v/>
      </c>
      <c r="N38" s="39" t="str">
        <v/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4</v>
      </c>
    </row>
    <row r="39" spans="1:23" ht="18" x14ac:dyDescent="0.25">
      <c r="A39" s="29" t="s">
        <v>428</v>
      </c>
      <c r="B39" s="43" t="str">
        <v>Ulix1990</v>
      </c>
      <c r="C39" s="20" t="str">
        <v/>
      </c>
      <c r="D39" s="20">
        <v>18</v>
      </c>
      <c r="E39" s="20" t="str">
        <v/>
      </c>
      <c r="F39" s="39">
        <v>18</v>
      </c>
      <c r="G39" s="12" t="str">
        <v/>
      </c>
      <c r="H39" s="12" t="str">
        <v/>
      </c>
      <c r="I39" s="12" t="str">
        <v/>
      </c>
      <c r="J39" s="39" t="str">
        <v/>
      </c>
      <c r="K39" s="12" t="str">
        <v/>
      </c>
      <c r="L39" s="12" t="str">
        <v/>
      </c>
      <c r="M39" s="12" t="str">
        <v/>
      </c>
      <c r="N39" s="39" t="str">
        <v/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18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abSelected="1" topLeftCell="A3" workbookViewId="0">
      <selection activeCell="C24" sqref="C24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16" t="s">
        <v>362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</row>
    <row r="2" spans="1:26" ht="19" x14ac:dyDescent="0.25">
      <c r="A2" s="115" t="s">
        <v>386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</row>
    <row r="3" spans="1:26" ht="22" customHeight="1" x14ac:dyDescent="0.2">
      <c r="A3" s="97" t="s">
        <v>19</v>
      </c>
      <c r="B3" s="97" t="s">
        <v>14</v>
      </c>
      <c r="C3" s="112" t="s">
        <v>363</v>
      </c>
      <c r="D3" s="112" t="s">
        <v>15</v>
      </c>
      <c r="E3" s="112" t="s">
        <v>424</v>
      </c>
      <c r="F3" s="105" t="s">
        <v>411</v>
      </c>
      <c r="G3" s="106"/>
      <c r="H3" s="106"/>
      <c r="I3" s="107"/>
      <c r="J3" s="105" t="s">
        <v>412</v>
      </c>
      <c r="K3" s="106"/>
      <c r="L3" s="106"/>
      <c r="M3" s="107"/>
      <c r="N3" s="105" t="s">
        <v>413</v>
      </c>
      <c r="O3" s="106"/>
      <c r="P3" s="106"/>
      <c r="Q3" s="107"/>
      <c r="R3" s="105" t="s">
        <v>414</v>
      </c>
      <c r="S3" s="106"/>
      <c r="T3" s="106"/>
      <c r="U3" s="107"/>
      <c r="V3" s="105" t="s">
        <v>415</v>
      </c>
      <c r="W3" s="106"/>
      <c r="X3" s="106"/>
      <c r="Y3" s="107"/>
      <c r="Z3" s="104" t="s">
        <v>33</v>
      </c>
    </row>
    <row r="4" spans="1:26" ht="27" x14ac:dyDescent="0.2">
      <c r="A4" s="97"/>
      <c r="B4" s="97"/>
      <c r="C4" s="113"/>
      <c r="D4" s="113"/>
      <c r="E4" s="113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04"/>
    </row>
    <row r="5" spans="1:26" ht="20" customHeight="1" x14ac:dyDescent="0.2">
      <c r="A5" s="99" t="s">
        <v>29</v>
      </c>
      <c r="B5" s="100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andvea_99</v>
      </c>
      <c r="C6" s="67" t="str">
        <f>VLOOKUP(B6,nomi!B:C,2,FALSE)</f>
        <v>TLM_andvea99</v>
      </c>
      <c r="D6" s="67" t="str">
        <f>VLOOKUP(B6,nomi!B:G,6,FALSE)</f>
        <v>TLM</v>
      </c>
      <c r="E6" s="67">
        <f>VLOOKUP(B6,nomi!B:I,8,FALSE)</f>
        <v>99</v>
      </c>
      <c r="F6" s="12" t="str">
        <f>RISULTATI!C5</f>
        <v/>
      </c>
      <c r="G6" s="12" t="str">
        <f>RISULTATI!D5</f>
        <v/>
      </c>
      <c r="H6" s="12" t="str">
        <f>RISULTATI!E5</f>
        <v/>
      </c>
      <c r="I6" s="79" t="str">
        <f>RISULTATI!F5</f>
        <v/>
      </c>
      <c r="J6" s="12">
        <f>RISULTATI!G5</f>
        <v>1</v>
      </c>
      <c r="K6" s="12">
        <f>RISULTATI!H5</f>
        <v>25</v>
      </c>
      <c r="L6" s="12" t="str">
        <f>RISULTATI!I5</f>
        <v/>
      </c>
      <c r="M6" s="79">
        <f>RISULTATI!J5</f>
        <v>26</v>
      </c>
      <c r="N6" s="12" t="str">
        <f>RISULTATI!K5</f>
        <v/>
      </c>
      <c r="O6" s="12" t="str">
        <f>RISULTATI!L5</f>
        <v/>
      </c>
      <c r="P6" s="12" t="str">
        <f>RISULTATI!M5</f>
        <v/>
      </c>
      <c r="Q6" s="79" t="str">
        <f>RISULTATI!N5</f>
        <v/>
      </c>
      <c r="R6" s="12" t="str">
        <f>RISULTATI!O5</f>
        <v/>
      </c>
      <c r="S6" s="12" t="str">
        <f>RISULTATI!P5</f>
        <v/>
      </c>
      <c r="T6" s="12" t="str">
        <f>RISULTATI!Q5</f>
        <v/>
      </c>
      <c r="U6" s="79" t="str">
        <f>RISULTATI!R5</f>
        <v/>
      </c>
      <c r="V6" s="12" t="str">
        <f>RISULTATI!S5</f>
        <v/>
      </c>
      <c r="W6" s="12" t="str">
        <f>RISULTATI!T5</f>
        <v/>
      </c>
      <c r="X6" s="12" t="str">
        <f>RISULTATI!U5</f>
        <v/>
      </c>
      <c r="Y6" s="79" t="str">
        <f>RISULTATI!V5</f>
        <v/>
      </c>
      <c r="Z6" s="80">
        <f>RISULTATI!W5</f>
        <v>26</v>
      </c>
    </row>
    <row r="7" spans="1:26" ht="20" customHeight="1" x14ac:dyDescent="0.2">
      <c r="A7" s="69">
        <v>2</v>
      </c>
      <c r="B7" s="67" t="str">
        <f>RISULTATI!B6</f>
        <v>TLM_SKIZZO 34</v>
      </c>
      <c r="C7" s="67" t="str">
        <f>VLOOKUP(B7,nomi!B:C,2,FALSE)</f>
        <v>TLM_SKIZZO 34</v>
      </c>
      <c r="D7" s="67" t="str">
        <f>VLOOKUP(B7,nomi!B:G,6,FALSE)</f>
        <v>TLM</v>
      </c>
      <c r="E7" s="67">
        <f>VLOOKUP(B7,nomi!B:I,8,FALSE)</f>
        <v>34</v>
      </c>
      <c r="F7" s="12" t="str">
        <f>RISULTATI!C6</f>
        <v/>
      </c>
      <c r="G7" s="12">
        <f>RISULTATI!D6</f>
        <v>20</v>
      </c>
      <c r="H7" s="12">
        <f>RISULTATI!E6</f>
        <v>1</v>
      </c>
      <c r="I7" s="79">
        <f>RISULTATI!F6</f>
        <v>21</v>
      </c>
      <c r="J7" s="12" t="str">
        <f>RISULTATI!G6</f>
        <v/>
      </c>
      <c r="K7" s="12">
        <f>RISULTATI!H6</f>
        <v>20</v>
      </c>
      <c r="L7" s="12" t="str">
        <f>RISULTATI!I6</f>
        <v/>
      </c>
      <c r="M7" s="79">
        <f>RISULTATI!J6</f>
        <v>20</v>
      </c>
      <c r="N7" s="12" t="str">
        <f>RISULTATI!K6</f>
        <v/>
      </c>
      <c r="O7" s="12" t="str">
        <f>RISULTATI!L6</f>
        <v/>
      </c>
      <c r="P7" s="12" t="str">
        <f>RISULTATI!M6</f>
        <v/>
      </c>
      <c r="Q7" s="79" t="str">
        <f>RISULTATI!N6</f>
        <v/>
      </c>
      <c r="R7" s="12" t="str">
        <f>RISULTATI!O6</f>
        <v/>
      </c>
      <c r="S7" s="12" t="str">
        <f>RISULTATI!P6</f>
        <v/>
      </c>
      <c r="T7" s="12" t="str">
        <f>RISULTATI!Q6</f>
        <v/>
      </c>
      <c r="U7" s="79" t="str">
        <f>RISULTATI!R6</f>
        <v/>
      </c>
      <c r="V7" s="12" t="str">
        <f>RISULTATI!S6</f>
        <v/>
      </c>
      <c r="W7" s="12" t="str">
        <f>RISULTATI!T6</f>
        <v/>
      </c>
      <c r="X7" s="12" t="str">
        <f>RISULTATI!U6</f>
        <v/>
      </c>
      <c r="Y7" s="79" t="str">
        <f>RISULTATI!V6</f>
        <v/>
      </c>
      <c r="Z7" s="80">
        <f>RISULTATI!W6</f>
        <v>41</v>
      </c>
    </row>
    <row r="8" spans="1:26" ht="20" customHeight="1" x14ac:dyDescent="0.2">
      <c r="A8" s="70">
        <v>3</v>
      </c>
      <c r="B8" s="67" t="str">
        <f>RISULTATI!B7</f>
        <v>Bobgre93</v>
      </c>
      <c r="C8" s="67" t="str">
        <f>VLOOKUP(B8,nomi!B:C,2,FALSE)</f>
        <v>TLM_BobGre93</v>
      </c>
      <c r="D8" s="67" t="str">
        <f>VLOOKUP(B8,nomi!B:G,6,FALSE)</f>
        <v>TLM</v>
      </c>
      <c r="E8" s="67">
        <f>VLOOKUP(B8,nomi!B:I,8,FALSE)</f>
        <v>112</v>
      </c>
      <c r="F8" s="12" t="str">
        <f>RISULTATI!C7</f>
        <v/>
      </c>
      <c r="G8" s="12" t="str">
        <f>RISULTATI!D7</f>
        <v/>
      </c>
      <c r="H8" s="12" t="str">
        <f>RISULTATI!E7</f>
        <v/>
      </c>
      <c r="I8" s="79" t="str">
        <f>RISULTATI!F7</f>
        <v/>
      </c>
      <c r="J8" s="12" t="str">
        <f>RISULTATI!G7</f>
        <v/>
      </c>
      <c r="K8" s="12">
        <f>RISULTATI!H7</f>
        <v>18</v>
      </c>
      <c r="L8" s="12" t="str">
        <f>RISULTATI!I7</f>
        <v/>
      </c>
      <c r="M8" s="79">
        <f>RISULTATI!J7</f>
        <v>18</v>
      </c>
      <c r="N8" s="12" t="str">
        <f>RISULTATI!K7</f>
        <v/>
      </c>
      <c r="O8" s="12" t="str">
        <f>RISULTATI!L7</f>
        <v/>
      </c>
      <c r="P8" s="12" t="str">
        <f>RISULTATI!M7</f>
        <v/>
      </c>
      <c r="Q8" s="79" t="str">
        <f>RISULTATI!N7</f>
        <v/>
      </c>
      <c r="R8" s="12" t="str">
        <f>RISULTATI!O7</f>
        <v/>
      </c>
      <c r="S8" s="12" t="str">
        <f>RISULTATI!P7</f>
        <v/>
      </c>
      <c r="T8" s="12" t="str">
        <f>RISULTATI!Q7</f>
        <v/>
      </c>
      <c r="U8" s="79" t="str">
        <f>RISULTATI!R7</f>
        <v/>
      </c>
      <c r="V8" s="12" t="str">
        <f>RISULTATI!S7</f>
        <v/>
      </c>
      <c r="W8" s="12" t="str">
        <f>RISULTATI!T7</f>
        <v/>
      </c>
      <c r="X8" s="12" t="str">
        <f>RISULTATI!U7</f>
        <v/>
      </c>
      <c r="Y8" s="79" t="str">
        <f>RISULTATI!V7</f>
        <v/>
      </c>
      <c r="Z8" s="80">
        <f>RISULTATI!W7</f>
        <v>18</v>
      </c>
    </row>
    <row r="9" spans="1:26" ht="20" customHeight="1" x14ac:dyDescent="0.2">
      <c r="A9" s="71">
        <v>4</v>
      </c>
      <c r="B9" s="67" t="str">
        <f>RISULTATI!B8</f>
        <v>mattebenny</v>
      </c>
      <c r="C9" s="67" t="str">
        <f>VLOOKUP(B9,nomi!B:C,2,FALSE)</f>
        <v>Benny89</v>
      </c>
      <c r="D9" s="67" t="str">
        <f>VLOOKUP(B9,nomi!B:G,6,FALSE)</f>
        <v>TLM</v>
      </c>
      <c r="E9" s="67">
        <f>VLOOKUP(B9,nomi!B:I,8,FALSE)</f>
        <v>89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 t="str">
        <f>RISULTATI!G8</f>
        <v/>
      </c>
      <c r="K9" s="12">
        <f>RISULTATI!H8</f>
        <v>16</v>
      </c>
      <c r="L9" s="12" t="str">
        <f>RISULTATI!I8</f>
        <v/>
      </c>
      <c r="M9" s="79">
        <f>RISULTATI!J8</f>
        <v>16</v>
      </c>
      <c r="N9" s="12" t="str">
        <f>RISULTATI!K8</f>
        <v/>
      </c>
      <c r="O9" s="12" t="str">
        <f>RISULTATI!L8</f>
        <v/>
      </c>
      <c r="P9" s="12" t="str">
        <f>RISULTATI!M8</f>
        <v/>
      </c>
      <c r="Q9" s="79" t="str">
        <f>RISULTATI!N8</f>
        <v/>
      </c>
      <c r="R9" s="12" t="str">
        <f>RISULTATI!O8</f>
        <v/>
      </c>
      <c r="S9" s="12" t="str">
        <f>RISULTATI!P8</f>
        <v/>
      </c>
      <c r="T9" s="12" t="str">
        <f>RISULTATI!Q8</f>
        <v/>
      </c>
      <c r="U9" s="79" t="str">
        <f>RISULTATI!R8</f>
        <v/>
      </c>
      <c r="V9" s="12" t="str">
        <f>RISULTATI!S8</f>
        <v/>
      </c>
      <c r="W9" s="12" t="str">
        <f>RISULTATI!T8</f>
        <v/>
      </c>
      <c r="X9" s="12" t="str">
        <f>RISULTATI!U8</f>
        <v/>
      </c>
      <c r="Y9" s="79" t="str">
        <f>RISULTATI!V8</f>
        <v/>
      </c>
      <c r="Z9" s="80">
        <f>RISULTATI!W8</f>
        <v>16</v>
      </c>
    </row>
    <row r="10" spans="1:26" ht="20" customHeight="1" x14ac:dyDescent="0.2">
      <c r="A10" s="71">
        <v>5</v>
      </c>
      <c r="B10" s="67" t="str">
        <f>RISULTATI!B9</f>
        <v>selpa974</v>
      </c>
      <c r="C10" s="67" t="str">
        <f>VLOOKUP(B10,nomi!B:C,2,FALSE)</f>
        <v>TLM_Selpa974_#88</v>
      </c>
      <c r="D10" s="67" t="str">
        <f>VLOOKUP(B10,nomi!B:G,6,FALSE)</f>
        <v>TLM</v>
      </c>
      <c r="E10" s="67">
        <f>VLOOKUP(B10,nomi!B:I,8,FALSE)</f>
        <v>88</v>
      </c>
      <c r="F10" s="12" t="str">
        <f>RISULTATI!C9</f>
        <v/>
      </c>
      <c r="G10" s="12">
        <f>RISULTATI!D9</f>
        <v>16</v>
      </c>
      <c r="H10" s="12" t="str">
        <f>RISULTATI!E9</f>
        <v/>
      </c>
      <c r="I10" s="79">
        <f>RISULTATI!F9</f>
        <v>16</v>
      </c>
      <c r="J10" s="12" t="str">
        <f>RISULTATI!G9</f>
        <v/>
      </c>
      <c r="K10" s="12">
        <f>RISULTATI!H9</f>
        <v>14</v>
      </c>
      <c r="L10" s="12">
        <f>RISULTATI!I9</f>
        <v>1</v>
      </c>
      <c r="M10" s="79">
        <f>RISULTATI!J9</f>
        <v>15</v>
      </c>
      <c r="N10" s="12" t="str">
        <f>RISULTATI!K9</f>
        <v/>
      </c>
      <c r="O10" s="12" t="str">
        <f>RISULTATI!L9</f>
        <v/>
      </c>
      <c r="P10" s="12" t="str">
        <f>RISULTATI!M9</f>
        <v/>
      </c>
      <c r="Q10" s="79" t="str">
        <f>RISULTATI!N9</f>
        <v/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 t="str">
        <f>RISULTATI!T9</f>
        <v/>
      </c>
      <c r="X10" s="12" t="str">
        <f>RISULTATI!U9</f>
        <v/>
      </c>
      <c r="Y10" s="79" t="str">
        <f>RISULTATI!V9</f>
        <v/>
      </c>
      <c r="Z10" s="80">
        <f>RISULTATI!W9</f>
        <v>31</v>
      </c>
    </row>
    <row r="11" spans="1:26" ht="20" customHeight="1" x14ac:dyDescent="0.2">
      <c r="A11" s="71">
        <v>6</v>
      </c>
      <c r="B11" s="67" t="str">
        <f>RISULTATI!B10</f>
        <v>Liotru1979</v>
      </c>
      <c r="C11" s="67" t="str">
        <f>VLOOKUP(B11,nomi!B:C,2,FALSE)</f>
        <v xml:space="preserve">TLM Max </v>
      </c>
      <c r="D11" s="67" t="str">
        <f>VLOOKUP(B11,nomi!B:G,6,FALSE)</f>
        <v>TLM</v>
      </c>
      <c r="E11" s="67">
        <f>VLOOKUP(B11,nomi!B:I,8,FALSE)</f>
        <v>79</v>
      </c>
      <c r="F11" s="12" t="str">
        <f>RISULTATI!C10</f>
        <v/>
      </c>
      <c r="G11" s="12">
        <f>RISULTATI!D10</f>
        <v>1.0009999999999999</v>
      </c>
      <c r="H11" s="12" t="str">
        <f>RISULTATI!E10</f>
        <v/>
      </c>
      <c r="I11" s="79">
        <f>RISULTATI!F10</f>
        <v>1.0009999999999999</v>
      </c>
      <c r="J11" s="12" t="str">
        <f>RISULTATI!G10</f>
        <v/>
      </c>
      <c r="K11" s="12">
        <f>RISULTATI!H10</f>
        <v>12</v>
      </c>
      <c r="L11" s="12" t="str">
        <f>RISULTATI!I10</f>
        <v/>
      </c>
      <c r="M11" s="79">
        <f>RISULTATI!J10</f>
        <v>12</v>
      </c>
      <c r="N11" s="12" t="str">
        <f>RISULTATI!K10</f>
        <v/>
      </c>
      <c r="O11" s="12" t="str">
        <f>RISULTATI!L10</f>
        <v/>
      </c>
      <c r="P11" s="12" t="str">
        <f>RISULTATI!M10</f>
        <v/>
      </c>
      <c r="Q11" s="79" t="str">
        <f>RISULTATI!N10</f>
        <v/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 t="str">
        <f>RISULTATI!T10</f>
        <v/>
      </c>
      <c r="X11" s="12" t="str">
        <f>RISULTATI!U10</f>
        <v/>
      </c>
      <c r="Y11" s="79" t="str">
        <f>RISULTATI!V10</f>
        <v/>
      </c>
      <c r="Z11" s="80">
        <f>RISULTATI!W10</f>
        <v>13.000999999999999</v>
      </c>
    </row>
    <row r="12" spans="1:26" ht="20" customHeight="1" x14ac:dyDescent="0.2">
      <c r="A12" s="71">
        <v>7</v>
      </c>
      <c r="B12" s="67" t="str">
        <f>RISULTATI!B11</f>
        <v>TheGuarny</v>
      </c>
      <c r="C12" s="67" t="str">
        <f>VLOOKUP(B12,nomi!B:C,2,FALSE)</f>
        <v>TLM_TheGuarny</v>
      </c>
      <c r="D12" s="67" t="str">
        <f>VLOOKUP(B12,nomi!B:G,6,FALSE)</f>
        <v>TLM</v>
      </c>
      <c r="E12" s="67">
        <f>VLOOKUP(B12,nomi!B:I,8,FALSE)</f>
        <v>92</v>
      </c>
      <c r="F12" s="12" t="str">
        <f>RISULTATI!C11</f>
        <v/>
      </c>
      <c r="G12" s="12" t="str">
        <f>RISULTATI!D11</f>
        <v/>
      </c>
      <c r="H12" s="12" t="str">
        <f>RISULTATI!E11</f>
        <v/>
      </c>
      <c r="I12" s="79" t="str">
        <f>RISULTATI!F11</f>
        <v/>
      </c>
      <c r="J12" s="12" t="str">
        <f>RISULTATI!G11</f>
        <v/>
      </c>
      <c r="K12" s="12">
        <f>RISULTATI!H11</f>
        <v>10</v>
      </c>
      <c r="L12" s="12" t="str">
        <f>RISULTATI!I11</f>
        <v/>
      </c>
      <c r="M12" s="79">
        <f>RISULTATI!J11</f>
        <v>10</v>
      </c>
      <c r="N12" s="12" t="str">
        <f>RISULTATI!K11</f>
        <v/>
      </c>
      <c r="O12" s="12" t="str">
        <f>RISULTATI!L11</f>
        <v/>
      </c>
      <c r="P12" s="12" t="str">
        <f>RISULTATI!M11</f>
        <v/>
      </c>
      <c r="Q12" s="79" t="str">
        <f>RISULTATI!N11</f>
        <v/>
      </c>
      <c r="R12" s="12" t="str">
        <f>RISULTATI!O11</f>
        <v/>
      </c>
      <c r="S12" s="12" t="str">
        <f>RISULTATI!P11</f>
        <v/>
      </c>
      <c r="T12" s="12" t="str">
        <f>RISULTATI!Q11</f>
        <v/>
      </c>
      <c r="U12" s="79" t="str">
        <f>RISULTATI!R11</f>
        <v/>
      </c>
      <c r="V12" s="12" t="str">
        <f>RISULTATI!S11</f>
        <v/>
      </c>
      <c r="W12" s="12" t="str">
        <f>RISULTATI!T11</f>
        <v/>
      </c>
      <c r="X12" s="12" t="str">
        <f>RISULTATI!U11</f>
        <v/>
      </c>
      <c r="Y12" s="79" t="str">
        <f>RISULTATI!V11</f>
        <v/>
      </c>
      <c r="Z12" s="80">
        <f>RISULTATI!W11</f>
        <v>10</v>
      </c>
    </row>
    <row r="13" spans="1:26" ht="20" customHeight="1" x14ac:dyDescent="0.2">
      <c r="A13" s="71">
        <v>8</v>
      </c>
      <c r="B13" s="67" t="str">
        <f>RISULTATI!B12</f>
        <v>xRUA85x</v>
      </c>
      <c r="C13" s="67" t="str">
        <f>VLOOKUP(B13,nomi!B:C,2,FALSE)</f>
        <v>TLM_Le Rua’</v>
      </c>
      <c r="D13" s="67" t="str">
        <f>VLOOKUP(B13,nomi!B:G,6,FALSE)</f>
        <v>TLM</v>
      </c>
      <c r="E13" s="67">
        <f>VLOOKUP(B13,nomi!B:I,8,FALSE)</f>
        <v>85</v>
      </c>
      <c r="F13" s="12" t="str">
        <f>RISULTATI!C12</f>
        <v/>
      </c>
      <c r="G13" s="12">
        <f>RISULTATI!D12</f>
        <v>12</v>
      </c>
      <c r="H13" s="12" t="str">
        <f>RISULTATI!E12</f>
        <v/>
      </c>
      <c r="I13" s="79">
        <f>RISULTATI!F12</f>
        <v>12</v>
      </c>
      <c r="J13" s="12" t="str">
        <f>RISULTATI!G12</f>
        <v/>
      </c>
      <c r="K13" s="12">
        <f>RISULTATI!H12</f>
        <v>6</v>
      </c>
      <c r="L13" s="12" t="str">
        <f>RISULTATI!I12</f>
        <v/>
      </c>
      <c r="M13" s="79">
        <f>RISULTATI!J12</f>
        <v>6</v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18</v>
      </c>
    </row>
    <row r="14" spans="1:26" ht="20" customHeight="1" x14ac:dyDescent="0.2">
      <c r="A14" s="71">
        <v>9</v>
      </c>
      <c r="B14" s="67" t="str">
        <f>RISULTATI!B13</f>
        <v>Rupetheking</v>
      </c>
      <c r="C14" s="67" t="str">
        <f>VLOOKUP(B14,nomi!B:C,2,FALSE)</f>
        <v xml:space="preserve">Tlm-rupetheking </v>
      </c>
      <c r="D14" s="67" t="str">
        <f>VLOOKUP(B14,nomi!B:G,6,FALSE)</f>
        <v>TLM</v>
      </c>
      <c r="E14" s="67">
        <f>VLOOKUP(B14,nomi!B:I,8,FALSE)</f>
        <v>44</v>
      </c>
      <c r="F14" s="12" t="str">
        <f>RISULTATI!C13</f>
        <v/>
      </c>
      <c r="G14" s="12">
        <f>RISULTATI!D13</f>
        <v>18</v>
      </c>
      <c r="H14" s="12" t="str">
        <f>RISULTATI!E13</f>
        <v/>
      </c>
      <c r="I14" s="79">
        <f>RISULTATI!F13</f>
        <v>18</v>
      </c>
      <c r="J14" s="12" t="str">
        <f>RISULTATI!G13</f>
        <v/>
      </c>
      <c r="K14" s="12">
        <f>RISULTATI!H13</f>
        <v>4</v>
      </c>
      <c r="L14" s="12" t="str">
        <f>RISULTATI!I13</f>
        <v/>
      </c>
      <c r="M14" s="79">
        <f>RISULTATI!J13</f>
        <v>4</v>
      </c>
      <c r="N14" s="12" t="str">
        <f>RISULTATI!K13</f>
        <v/>
      </c>
      <c r="O14" s="12" t="str">
        <f>RISULTATI!L13</f>
        <v/>
      </c>
      <c r="P14" s="12" t="str">
        <f>RISULTATI!M13</f>
        <v/>
      </c>
      <c r="Q14" s="79" t="str">
        <f>RISULTATI!N13</f>
        <v/>
      </c>
      <c r="R14" s="12" t="str">
        <f>RISULTATI!O13</f>
        <v/>
      </c>
      <c r="S14" s="12" t="str">
        <f>RISULTATI!P13</f>
        <v/>
      </c>
      <c r="T14" s="12" t="str">
        <f>RISULTATI!Q13</f>
        <v/>
      </c>
      <c r="U14" s="79" t="str">
        <f>RISULTATI!R13</f>
        <v/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22</v>
      </c>
    </row>
    <row r="15" spans="1:26" ht="20" customHeight="1" x14ac:dyDescent="0.2">
      <c r="A15" s="71">
        <v>10</v>
      </c>
      <c r="B15" s="67" t="str">
        <f>RISULTATI!B14</f>
        <v>TLM_wid83</v>
      </c>
      <c r="C15" s="67" t="str">
        <f>VLOOKUP(B15,nomi!B:C,2,FALSE)</f>
        <v>TLM_wid83</v>
      </c>
      <c r="D15" s="67" t="str">
        <f>VLOOKUP(B15,nomi!B:G,6,FALSE)</f>
        <v>TLM</v>
      </c>
      <c r="E15" s="67">
        <f>VLOOKUP(B15,nomi!B:I,8,FALSE)</f>
        <v>23</v>
      </c>
      <c r="F15" s="12" t="str">
        <f>RISULTATI!C14</f>
        <v/>
      </c>
      <c r="G15" s="12">
        <f>RISULTATI!D14</f>
        <v>6</v>
      </c>
      <c r="H15" s="12" t="str">
        <f>RISULTATI!E14</f>
        <v/>
      </c>
      <c r="I15" s="79">
        <f>RISULTATI!F14</f>
        <v>6</v>
      </c>
      <c r="J15" s="12" t="str">
        <f>RISULTATI!G14</f>
        <v/>
      </c>
      <c r="K15" s="12">
        <f>RISULTATI!H14</f>
        <v>2</v>
      </c>
      <c r="L15" s="12" t="str">
        <f>RISULTATI!I14</f>
        <v/>
      </c>
      <c r="M15" s="79">
        <f>RISULTATI!J14</f>
        <v>2</v>
      </c>
      <c r="N15" s="12" t="str">
        <f>RISULTATI!K14</f>
        <v/>
      </c>
      <c r="O15" s="12" t="str">
        <f>RISULTATI!L14</f>
        <v/>
      </c>
      <c r="P15" s="12" t="str">
        <f>RISULTATI!M14</f>
        <v/>
      </c>
      <c r="Q15" s="79" t="str">
        <f>RISULTATI!N14</f>
        <v/>
      </c>
      <c r="R15" s="12" t="str">
        <f>RISULTATI!O14</f>
        <v/>
      </c>
      <c r="S15" s="12" t="str">
        <f>RISULTATI!P14</f>
        <v/>
      </c>
      <c r="T15" s="12" t="str">
        <f>RISULTATI!Q14</f>
        <v/>
      </c>
      <c r="U15" s="79" t="str">
        <f>RISULTATI!R14</f>
        <v/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8</v>
      </c>
    </row>
    <row r="16" spans="1:26" ht="20" customHeight="1" x14ac:dyDescent="0.2">
      <c r="A16" s="71">
        <v>11</v>
      </c>
      <c r="B16" s="67" t="str">
        <f>RISULTATI!B15</f>
        <v>Silentium884</v>
      </c>
      <c r="C16" s="67" t="str">
        <f>VLOOKUP(B16,nomi!B:C,2,FALSE)</f>
        <v>TLM_Sile</v>
      </c>
      <c r="D16" s="67" t="str">
        <f>VLOOKUP(B16,nomi!B:G,6,FALSE)</f>
        <v>TLM</v>
      </c>
      <c r="E16" s="67">
        <f>VLOOKUP(B16,nomi!B:I,8,FALSE)</f>
        <v>81</v>
      </c>
      <c r="F16" s="12" t="str">
        <f>RISULTATI!C15</f>
        <v/>
      </c>
      <c r="G16" s="12">
        <f>RISULTATI!D15</f>
        <v>14</v>
      </c>
      <c r="H16" s="12" t="str">
        <f>RISULTATI!E15</f>
        <v/>
      </c>
      <c r="I16" s="79">
        <f>RISULTATI!F15</f>
        <v>14</v>
      </c>
      <c r="J16" s="12" t="str">
        <f>RISULTATI!G15</f>
        <v/>
      </c>
      <c r="K16" s="12">
        <f>RISULTATI!H15</f>
        <v>1.01</v>
      </c>
      <c r="L16" s="12" t="str">
        <f>RISULTATI!I15</f>
        <v/>
      </c>
      <c r="M16" s="79">
        <f>RISULTATI!J15</f>
        <v>1.01</v>
      </c>
      <c r="N16" s="12" t="str">
        <f>RISULTATI!K15</f>
        <v/>
      </c>
      <c r="O16" s="12" t="str">
        <f>RISULTATI!L15</f>
        <v/>
      </c>
      <c r="P16" s="12" t="str">
        <f>RISULTATI!M15</f>
        <v/>
      </c>
      <c r="Q16" s="79" t="str">
        <f>RISULTATI!N15</f>
        <v/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15.01</v>
      </c>
    </row>
    <row r="17" spans="1:16353" ht="20" customHeight="1" x14ac:dyDescent="0.2">
      <c r="A17" s="71">
        <v>12</v>
      </c>
      <c r="B17" s="67" t="str">
        <f>RISULTATI!B16</f>
        <v>Isnotacrime</v>
      </c>
      <c r="C17" s="67" t="str">
        <f>VLOOKUP(B17,nomi!B:C,2,FALSE)</f>
        <v xml:space="preserve">TLM isnotacrime </v>
      </c>
      <c r="D17" s="67" t="str">
        <f>VLOOKUP(B17,nomi!B:G,6,FALSE)</f>
        <v>TLM</v>
      </c>
      <c r="E17" s="67">
        <f>VLOOKUP(B17,nomi!B:I,8,FALSE)</f>
        <v>13</v>
      </c>
      <c r="F17" s="12" t="str">
        <f>RISULTATI!C16</f>
        <v/>
      </c>
      <c r="G17" s="12">
        <f>RISULTATI!D16</f>
        <v>2</v>
      </c>
      <c r="H17" s="12" t="str">
        <f>RISULTATI!E16</f>
        <v/>
      </c>
      <c r="I17" s="79">
        <f>RISULTATI!F16</f>
        <v>2</v>
      </c>
      <c r="J17" s="12" t="str">
        <f>RISULTATI!G16</f>
        <v/>
      </c>
      <c r="K17" s="12">
        <f>RISULTATI!H16</f>
        <v>1.0009999999999999</v>
      </c>
      <c r="L17" s="12" t="str">
        <f>RISULTATI!I16</f>
        <v/>
      </c>
      <c r="M17" s="79">
        <f>RISULTATI!J16</f>
        <v>1.0009999999999999</v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 t="str">
        <f>RISULTATI!P16</f>
        <v/>
      </c>
      <c r="T17" s="12" t="str">
        <f>RISULTATI!Q16</f>
        <v/>
      </c>
      <c r="U17" s="79" t="str">
        <f>RISULTATI!R16</f>
        <v/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3.0009999999999999</v>
      </c>
    </row>
    <row r="18" spans="1:16353" ht="20" customHeight="1" x14ac:dyDescent="0.2">
      <c r="A18" s="71">
        <v>13</v>
      </c>
      <c r="B18" s="67" t="str">
        <f>RISULTATI!B17</f>
        <v>Verce90</v>
      </c>
      <c r="C18" s="67" t="str">
        <f>VLOOKUP(B18,nomi!B:C,2,FALSE)</f>
        <v>TLM Verce90</v>
      </c>
      <c r="D18" s="67" t="str">
        <f>VLOOKUP(B18,nomi!B:G,6,FALSE)</f>
        <v>TLM</v>
      </c>
      <c r="E18" s="67">
        <f>VLOOKUP(B18,nomi!B:I,8,FALSE)</f>
        <v>25</v>
      </c>
      <c r="F18" s="12" t="str">
        <f>RISULTATI!C17</f>
        <v/>
      </c>
      <c r="G18" s="12">
        <f>RISULTATI!D17</f>
        <v>1.0001</v>
      </c>
      <c r="H18" s="12" t="str">
        <f>RISULTATI!E17</f>
        <v/>
      </c>
      <c r="I18" s="79">
        <f>RISULTATI!F17</f>
        <v>1.0001</v>
      </c>
      <c r="J18" s="12" t="str">
        <f>RISULTATI!G17</f>
        <v/>
      </c>
      <c r="K18" s="12">
        <f>RISULTATI!H17</f>
        <v>1.0001</v>
      </c>
      <c r="L18" s="12" t="str">
        <f>RISULTATI!I17</f>
        <v/>
      </c>
      <c r="M18" s="79">
        <f>RISULTATI!J17</f>
        <v>1.0001</v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2.0002</v>
      </c>
    </row>
    <row r="19" spans="1:16353" ht="20" customHeight="1" x14ac:dyDescent="0.2">
      <c r="A19" s="71">
        <v>14</v>
      </c>
      <c r="B19" s="67" t="str">
        <f>RISULTATI!B18</f>
        <v>Patanel86</v>
      </c>
      <c r="C19" s="67" t="str">
        <f>VLOOKUP(B19,nomi!B:C,2,FALSE)</f>
        <v>TLM_PataneL86</v>
      </c>
      <c r="D19" s="67" t="str">
        <f>VLOOKUP(B19,nomi!B:G,6,FALSE)</f>
        <v>TLM</v>
      </c>
      <c r="E19" s="67">
        <f>VLOOKUP(B19,nomi!B:I,8,FALSE)</f>
        <v>10</v>
      </c>
      <c r="F19" s="12">
        <f>RISULTATI!C18</f>
        <v>1</v>
      </c>
      <c r="G19" s="12">
        <f>RISULTATI!D18</f>
        <v>25</v>
      </c>
      <c r="H19" s="12" t="str">
        <f>RISULTATI!E18</f>
        <v/>
      </c>
      <c r="I19" s="79">
        <f>RISULTATI!F18</f>
        <v>26</v>
      </c>
      <c r="J19" s="12" t="str">
        <f>RISULTATI!G18</f>
        <v/>
      </c>
      <c r="K19" s="12" t="str">
        <f>RISULTATI!H18</f>
        <v/>
      </c>
      <c r="L19" s="12" t="str">
        <f>RISULTATI!I18</f>
        <v/>
      </c>
      <c r="M19" s="79" t="str">
        <f>RISULTATI!J18</f>
        <v/>
      </c>
      <c r="N19" s="12" t="str">
        <f>RISULTATI!K18</f>
        <v/>
      </c>
      <c r="O19" s="12" t="str">
        <f>RISULTATI!L18</f>
        <v/>
      </c>
      <c r="P19" s="12" t="str">
        <f>RISULTATI!M18</f>
        <v/>
      </c>
      <c r="Q19" s="79" t="str">
        <f>RISULTATI!N18</f>
        <v/>
      </c>
      <c r="R19" s="12" t="str">
        <f>RISULTATI!O18</f>
        <v/>
      </c>
      <c r="S19" s="12" t="str">
        <f>RISULTATI!P18</f>
        <v/>
      </c>
      <c r="T19" s="12" t="str">
        <f>RISULTATI!Q18</f>
        <v/>
      </c>
      <c r="U19" s="79" t="str">
        <f>RISULTATI!R18</f>
        <v/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26</v>
      </c>
    </row>
    <row r="20" spans="1:16353" ht="20" customHeight="1" x14ac:dyDescent="0.2">
      <c r="A20" s="71">
        <v>15</v>
      </c>
      <c r="B20" s="67" t="str">
        <f>RISULTATI!B19</f>
        <v>TLM_Kappa</v>
      </c>
      <c r="C20" s="67" t="str">
        <f>VLOOKUP(B20,nomi!B:C,2,FALSE)</f>
        <v>TLM_Kappa</v>
      </c>
      <c r="D20" s="67" t="str">
        <f>VLOOKUP(B20,nomi!B:G,6,FALSE)</f>
        <v>TLM</v>
      </c>
      <c r="E20" s="88">
        <f>VLOOKUP(B20,nomi!B:I,8,FALSE)</f>
        <v>53</v>
      </c>
      <c r="F20" s="12" t="str">
        <f>RISULTATI!C19</f>
        <v/>
      </c>
      <c r="G20" s="12">
        <f>RISULTATI!D19</f>
        <v>4</v>
      </c>
      <c r="H20" s="12" t="str">
        <f>RISULTATI!E19</f>
        <v/>
      </c>
      <c r="I20" s="79">
        <f>RISULTATI!F19</f>
        <v>4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4</v>
      </c>
    </row>
    <row r="21" spans="1:16353" ht="20" customHeight="1" x14ac:dyDescent="0.25">
      <c r="A21" s="71">
        <v>16</v>
      </c>
      <c r="B21" s="67" t="str">
        <f>RISULTATI!B20</f>
        <v>Ulix1990</v>
      </c>
      <c r="C21" s="67" t="str">
        <f>VLOOKUP(B21,nomi!B:C,2,FALSE)</f>
        <v>TLM_Ulix1990*</v>
      </c>
      <c r="D21" s="67" t="str">
        <f>VLOOKUP(B21,nomi!B:G,6,FALSE)</f>
        <v>TLM</v>
      </c>
      <c r="E21" s="92">
        <f>VLOOKUP(B21,nomi!B:I,8,FALSE)</f>
        <v>22</v>
      </c>
      <c r="F21" s="12" t="str">
        <f>RISULTATI!C20</f>
        <v/>
      </c>
      <c r="G21" s="12">
        <f>RISULTATI!D20</f>
        <v>10</v>
      </c>
      <c r="H21" s="12" t="str">
        <f>RISULTATI!E20</f>
        <v/>
      </c>
      <c r="I21" s="79">
        <f>RISULTATI!F20</f>
        <v>10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 t="str">
        <f>RISULTATI!L20</f>
        <v/>
      </c>
      <c r="P21" s="12" t="str">
        <f>RISULTATI!M20</f>
        <v/>
      </c>
      <c r="Q21" s="79" t="str">
        <f>RISULTATI!N20</f>
        <v/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10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Asseemazz</v>
      </c>
      <c r="C22" s="67" t="str">
        <f>VLOOKUP(B22,nomi!B:C,2,FALSE)</f>
        <v>TLM_GAMMA</v>
      </c>
      <c r="D22" s="67" t="str">
        <f>VLOOKUP(B22,nomi!B:G,6,FALSE)</f>
        <v>TLM</v>
      </c>
      <c r="E22" s="67">
        <f>VLOOKUP(B22,nomi!B:I,8,FALSE)</f>
        <v>33</v>
      </c>
      <c r="F22" s="12" t="str">
        <f>RISULTATI!C21</f>
        <v/>
      </c>
      <c r="G22" s="12">
        <f>RISULTATI!D21</f>
        <v>1.01</v>
      </c>
      <c r="H22" s="12" t="str">
        <f>RISULTATI!E21</f>
        <v/>
      </c>
      <c r="I22" s="79">
        <f>RISULTATI!F21</f>
        <v>1.01</v>
      </c>
      <c r="J22" s="12" t="str">
        <f>RISULTATI!G21</f>
        <v/>
      </c>
      <c r="K22" s="12" t="str">
        <f>RISULTATI!H21</f>
        <v/>
      </c>
      <c r="L22" s="12" t="str">
        <f>RISULTATI!I21</f>
        <v/>
      </c>
      <c r="M22" s="79" t="str">
        <f>RISULTATI!J21</f>
        <v/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1.01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1" t="s">
        <v>30</v>
      </c>
      <c r="B23" s="119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andvea_99</v>
      </c>
      <c r="C24" s="67" t="str">
        <f>VLOOKUP(B24,nomi!B:C,2,FALSE)</f>
        <v>TLM_andvea99</v>
      </c>
      <c r="D24" s="67" t="str">
        <f>VLOOKUP(B24,nomi!B:G,6,FALSE)</f>
        <v>TLM</v>
      </c>
      <c r="E24" s="92">
        <f>VLOOKUP(B24,nomi!B:I,8,FALSE)</f>
        <v>99</v>
      </c>
      <c r="F24" s="12" t="str">
        <f>RISULTATI!C23</f>
        <v/>
      </c>
      <c r="G24" s="12" t="str">
        <f>RISULTATI!D23</f>
        <v/>
      </c>
      <c r="H24" s="12" t="str">
        <f>RISULTATI!E23</f>
        <v/>
      </c>
      <c r="I24" s="79" t="str">
        <f>RISULTATI!F23</f>
        <v/>
      </c>
      <c r="J24" s="12" t="str">
        <f>RISULTATI!G23</f>
        <v/>
      </c>
      <c r="K24" s="12">
        <f>RISULTATI!H23</f>
        <v>25</v>
      </c>
      <c r="L24" s="12" t="str">
        <f>RISULTATI!I23</f>
        <v/>
      </c>
      <c r="M24" s="79">
        <f>RISULTATI!J23</f>
        <v>25</v>
      </c>
      <c r="N24" s="12" t="str">
        <f>RISULTATI!K23</f>
        <v/>
      </c>
      <c r="O24" s="12" t="str">
        <f>RISULTATI!L23</f>
        <v/>
      </c>
      <c r="P24" s="12" t="str">
        <f>RISULTATI!M23</f>
        <v/>
      </c>
      <c r="Q24" s="79" t="str">
        <f>RISULTATI!N23</f>
        <v/>
      </c>
      <c r="R24" s="12" t="str">
        <f>RISULTATI!O23</f>
        <v/>
      </c>
      <c r="S24" s="12" t="str">
        <f>RISULTATI!P23</f>
        <v/>
      </c>
      <c r="T24" s="12" t="str">
        <f>RISULTATI!Q23</f>
        <v/>
      </c>
      <c r="U24" s="79" t="str">
        <f>RISULTATI!R23</f>
        <v/>
      </c>
      <c r="V24" s="12" t="str">
        <f>RISULTATI!S23</f>
        <v/>
      </c>
      <c r="W24" s="12" t="str">
        <f>RISULTATI!T23</f>
        <v/>
      </c>
      <c r="X24" s="12" t="str">
        <f>RISULTATI!U23</f>
        <v/>
      </c>
      <c r="Y24" s="79" t="str">
        <f>RISULTATI!V23</f>
        <v/>
      </c>
      <c r="Z24" s="80">
        <f>RISULTATI!W23</f>
        <v>25</v>
      </c>
    </row>
    <row r="25" spans="1:16353" ht="20" customHeight="1" x14ac:dyDescent="0.2">
      <c r="A25" s="69" t="s">
        <v>3</v>
      </c>
      <c r="B25" s="67" t="str">
        <f>RISULTATI!B24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92">
        <f>VLOOKUP(B25,nomi!B:I,8,FALSE)</f>
        <v>8</v>
      </c>
      <c r="F25" s="12">
        <f>RISULTATI!C24</f>
        <v>1</v>
      </c>
      <c r="G25" s="12">
        <f>RISULTATI!D24</f>
        <v>20</v>
      </c>
      <c r="H25" s="12">
        <f>RISULTATI!E24</f>
        <v>1</v>
      </c>
      <c r="I25" s="79">
        <f>RISULTATI!F24</f>
        <v>22</v>
      </c>
      <c r="J25" s="12">
        <f>RISULTATI!G24</f>
        <v>1</v>
      </c>
      <c r="K25" s="12">
        <f>RISULTATI!H24</f>
        <v>20</v>
      </c>
      <c r="L25" s="12" t="str">
        <f>RISULTATI!I24</f>
        <v/>
      </c>
      <c r="M25" s="79">
        <f>RISULTATI!J24</f>
        <v>21</v>
      </c>
      <c r="N25" s="12" t="str">
        <f>RISULTATI!K24</f>
        <v/>
      </c>
      <c r="O25" s="12" t="str">
        <f>RISULTATI!L24</f>
        <v/>
      </c>
      <c r="P25" s="12" t="str">
        <f>RISULTATI!M24</f>
        <v/>
      </c>
      <c r="Q25" s="79" t="str">
        <f>RISULTATI!N24</f>
        <v/>
      </c>
      <c r="R25" s="12" t="str">
        <f>RISULTATI!O24</f>
        <v/>
      </c>
      <c r="S25" s="12" t="str">
        <f>RISULTATI!P24</f>
        <v/>
      </c>
      <c r="T25" s="12" t="str">
        <f>RISULTATI!Q24</f>
        <v/>
      </c>
      <c r="U25" s="79" t="str">
        <f>RISULTATI!R24</f>
        <v/>
      </c>
      <c r="V25" s="12" t="str">
        <f>RISULTATI!S24</f>
        <v/>
      </c>
      <c r="W25" s="12" t="str">
        <f>RISULTATI!T24</f>
        <v/>
      </c>
      <c r="X25" s="12" t="str">
        <f>RISULTATI!U24</f>
        <v/>
      </c>
      <c r="Y25" s="79" t="str">
        <f>RISULTATI!V24</f>
        <v/>
      </c>
      <c r="Z25" s="80">
        <f>RISULTATI!W24</f>
        <v>43</v>
      </c>
    </row>
    <row r="26" spans="1:16353" ht="20" customHeight="1" x14ac:dyDescent="0.2">
      <c r="A26" s="70" t="s">
        <v>4</v>
      </c>
      <c r="B26" s="67" t="str">
        <f>RISULTATI!B25</f>
        <v>TLM_SKIZZO 34</v>
      </c>
      <c r="C26" s="67" t="str">
        <f>VLOOKUP(B26,nomi!B:C,2,FALSE)</f>
        <v>TLM_SKIZZO 34</v>
      </c>
      <c r="D26" s="67" t="str">
        <f>VLOOKUP(B26,nomi!B:G,6,FALSE)</f>
        <v>TLM</v>
      </c>
      <c r="E26" s="92">
        <f>VLOOKUP(B26,nomi!B:I,8,FALSE)</f>
        <v>34</v>
      </c>
      <c r="F26" s="12" t="str">
        <f>RISULTATI!C25</f>
        <v/>
      </c>
      <c r="G26" s="12">
        <f>RISULTATI!D25</f>
        <v>16</v>
      </c>
      <c r="H26" s="12" t="str">
        <f>RISULTATI!E25</f>
        <v/>
      </c>
      <c r="I26" s="79">
        <f>RISULTATI!F25</f>
        <v>16</v>
      </c>
      <c r="J26" s="12" t="str">
        <f>RISULTATI!G25</f>
        <v/>
      </c>
      <c r="K26" s="12">
        <f>RISULTATI!H25</f>
        <v>18</v>
      </c>
      <c r="L26" s="12" t="str">
        <f>RISULTATI!I25</f>
        <v/>
      </c>
      <c r="M26" s="79">
        <f>RISULTATI!J25</f>
        <v>18</v>
      </c>
      <c r="N26" s="12" t="str">
        <f>RISULTATI!K25</f>
        <v/>
      </c>
      <c r="O26" s="12" t="str">
        <f>RISULTATI!L25</f>
        <v/>
      </c>
      <c r="P26" s="12" t="str">
        <f>RISULTATI!M25</f>
        <v/>
      </c>
      <c r="Q26" s="79" t="str">
        <f>RISULTATI!N25</f>
        <v/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 t="str">
        <f>RISULTATI!T25</f>
        <v/>
      </c>
      <c r="X26" s="12" t="str">
        <f>RISULTATI!U25</f>
        <v/>
      </c>
      <c r="Y26" s="79" t="str">
        <f>RISULTATI!V25</f>
        <v/>
      </c>
      <c r="Z26" s="80">
        <f>RISULTATI!W25</f>
        <v>34</v>
      </c>
    </row>
    <row r="27" spans="1:16353" ht="20" customHeight="1" x14ac:dyDescent="0.2">
      <c r="A27" s="71" t="s">
        <v>5</v>
      </c>
      <c r="B27" s="67" t="str">
        <f>RISULTATI!B26</f>
        <v>Tonyroto74</v>
      </c>
      <c r="C27" s="67" t="str">
        <f>VLOOKUP(B27,nomi!B:C,2,FALSE)</f>
        <v>Tonyroto</v>
      </c>
      <c r="D27" s="67" t="str">
        <f>VLOOKUP(B27,nomi!B:G,6,FALSE)</f>
        <v>TLM</v>
      </c>
      <c r="E27" s="92">
        <f>VLOOKUP(B27,nomi!B:I,8,FALSE)</f>
        <v>74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9" t="str">
        <f>RISULTATI!F26</f>
        <v/>
      </c>
      <c r="J27" s="12" t="str">
        <f>RISULTATI!G26</f>
        <v/>
      </c>
      <c r="K27" s="12">
        <f>RISULTATI!H26</f>
        <v>16</v>
      </c>
      <c r="L27" s="12" t="str">
        <f>RISULTATI!I26</f>
        <v/>
      </c>
      <c r="M27" s="79">
        <f>RISULTATI!J26</f>
        <v>16</v>
      </c>
      <c r="N27" s="12" t="str">
        <f>RISULTATI!K26</f>
        <v/>
      </c>
      <c r="O27" s="12" t="str">
        <f>RISULTATI!L26</f>
        <v/>
      </c>
      <c r="P27" s="12" t="str">
        <f>RISULTATI!M26</f>
        <v/>
      </c>
      <c r="Q27" s="79" t="str">
        <f>RISULTATI!N26</f>
        <v/>
      </c>
      <c r="R27" s="12" t="str">
        <f>RISULTATI!O26</f>
        <v/>
      </c>
      <c r="S27" s="12" t="str">
        <f>RISULTATI!P26</f>
        <v/>
      </c>
      <c r="T27" s="12" t="str">
        <f>RISULTATI!Q26</f>
        <v/>
      </c>
      <c r="U27" s="79" t="str">
        <f>RISULTATI!R26</f>
        <v/>
      </c>
      <c r="V27" s="12" t="str">
        <f>RISULTATI!S26</f>
        <v/>
      </c>
      <c r="W27" s="12" t="str">
        <f>RISULTATI!T26</f>
        <v/>
      </c>
      <c r="X27" s="12" t="str">
        <f>RISULTATI!U26</f>
        <v/>
      </c>
      <c r="Y27" s="79" t="str">
        <f>RISULTATI!V26</f>
        <v/>
      </c>
      <c r="Z27" s="80">
        <f>RISULTATI!W26</f>
        <v>16</v>
      </c>
    </row>
    <row r="28" spans="1:16353" ht="20" customHeight="1" x14ac:dyDescent="0.2">
      <c r="A28" s="71" t="s">
        <v>6</v>
      </c>
      <c r="B28" s="67" t="str">
        <f>RISULTATI!B27</f>
        <v>mark126p</v>
      </c>
      <c r="C28" s="67" t="str">
        <f>VLOOKUP(B28,nomi!B:C,2,FALSE)</f>
        <v>Tlm mark126p</v>
      </c>
      <c r="D28" s="67" t="str">
        <f>VLOOKUP(B28,nomi!B:G,6,FALSE)</f>
        <v>TLM</v>
      </c>
      <c r="E28" s="92">
        <f>VLOOKUP(B28,nomi!B:I,8,FALSE)</f>
        <v>4</v>
      </c>
      <c r="F28" s="12" t="str">
        <f>RISULTATI!C27</f>
        <v/>
      </c>
      <c r="G28" s="12">
        <f>RISULTATI!D27</f>
        <v>10</v>
      </c>
      <c r="H28" s="12" t="str">
        <f>RISULTATI!E27</f>
        <v/>
      </c>
      <c r="I28" s="79">
        <f>RISULTATI!F27</f>
        <v>10</v>
      </c>
      <c r="J28" s="12" t="str">
        <f>RISULTATI!G27</f>
        <v/>
      </c>
      <c r="K28" s="12">
        <f>RISULTATI!H27</f>
        <v>14</v>
      </c>
      <c r="L28" s="12" t="str">
        <f>RISULTATI!I27</f>
        <v/>
      </c>
      <c r="M28" s="79">
        <f>RISULTATI!J27</f>
        <v>14</v>
      </c>
      <c r="N28" s="12" t="str">
        <f>RISULTATI!K27</f>
        <v/>
      </c>
      <c r="O28" s="12" t="str">
        <f>RISULTATI!L27</f>
        <v/>
      </c>
      <c r="P28" s="12" t="str">
        <f>RISULTATI!M27</f>
        <v/>
      </c>
      <c r="Q28" s="79" t="str">
        <f>RISULTATI!N27</f>
        <v/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 t="str">
        <f>RISULTATI!T27</f>
        <v/>
      </c>
      <c r="X28" s="12" t="str">
        <f>RISULTATI!U27</f>
        <v/>
      </c>
      <c r="Y28" s="79" t="str">
        <f>RISULTATI!V27</f>
        <v/>
      </c>
      <c r="Z28" s="80">
        <f>RISULTATI!W27</f>
        <v>24</v>
      </c>
    </row>
    <row r="29" spans="1:16353" ht="20" customHeight="1" x14ac:dyDescent="0.2">
      <c r="A29" s="71" t="s">
        <v>7</v>
      </c>
      <c r="B29" s="67" t="str">
        <f>RISULTATI!B28</f>
        <v>Rupetheking</v>
      </c>
      <c r="C29" s="67" t="str">
        <f>VLOOKUP(B29,nomi!B:C,2,FALSE)</f>
        <v xml:space="preserve">Tlm-rupetheking </v>
      </c>
      <c r="D29" s="67" t="str">
        <f>VLOOKUP(B29,nomi!B:G,6,FALSE)</f>
        <v>TLM</v>
      </c>
      <c r="E29" s="92">
        <f>VLOOKUP(B29,nomi!B:I,8,FALSE)</f>
        <v>44</v>
      </c>
      <c r="F29" s="12" t="str">
        <f>RISULTATI!C28</f>
        <v/>
      </c>
      <c r="G29" s="12">
        <f>RISULTATI!D28</f>
        <v>25</v>
      </c>
      <c r="H29" s="12" t="str">
        <f>RISULTATI!E28</f>
        <v/>
      </c>
      <c r="I29" s="79">
        <f>RISULTATI!F28</f>
        <v>25</v>
      </c>
      <c r="J29" s="12" t="str">
        <f>RISULTATI!G28</f>
        <v/>
      </c>
      <c r="K29" s="12">
        <f>RISULTATI!H28</f>
        <v>12</v>
      </c>
      <c r="L29" s="12">
        <f>RISULTATI!I28</f>
        <v>1</v>
      </c>
      <c r="M29" s="79">
        <f>RISULTATI!J28</f>
        <v>13</v>
      </c>
      <c r="N29" s="12" t="str">
        <f>RISULTATI!K28</f>
        <v/>
      </c>
      <c r="O29" s="12" t="str">
        <f>RISULTATI!L28</f>
        <v/>
      </c>
      <c r="P29" s="12" t="str">
        <f>RISULTATI!M28</f>
        <v/>
      </c>
      <c r="Q29" s="79" t="str">
        <f>RISULTATI!N28</f>
        <v/>
      </c>
      <c r="R29" s="12" t="str">
        <f>RISULTATI!O28</f>
        <v/>
      </c>
      <c r="S29" s="12" t="str">
        <f>RISULTATI!P28</f>
        <v/>
      </c>
      <c r="T29" s="12" t="str">
        <f>RISULTATI!Q28</f>
        <v/>
      </c>
      <c r="U29" s="79" t="str">
        <f>RISULTATI!R28</f>
        <v/>
      </c>
      <c r="V29" s="12" t="str">
        <f>RISULTATI!S28</f>
        <v/>
      </c>
      <c r="W29" s="12" t="str">
        <f>RISULTATI!T28</f>
        <v/>
      </c>
      <c r="X29" s="12" t="str">
        <f>RISULTATI!U28</f>
        <v/>
      </c>
      <c r="Y29" s="79" t="str">
        <f>RISULTATI!V28</f>
        <v/>
      </c>
      <c r="Z29" s="80">
        <f>RISULTATI!W28</f>
        <v>38</v>
      </c>
    </row>
    <row r="30" spans="1:16353" ht="20" customHeight="1" x14ac:dyDescent="0.2">
      <c r="A30" s="71" t="s">
        <v>8</v>
      </c>
      <c r="B30" s="67" t="str">
        <f>RISULTATI!B29</f>
        <v>mattebenny</v>
      </c>
      <c r="C30" s="67" t="str">
        <f>VLOOKUP(B30,nomi!B:C,2,FALSE)</f>
        <v>Benny89</v>
      </c>
      <c r="D30" s="67" t="str">
        <f>VLOOKUP(B30,nomi!B:G,6,FALSE)</f>
        <v>TLM</v>
      </c>
      <c r="E30" s="92">
        <f>VLOOKUP(B30,nomi!B:I,8,FALSE)</f>
        <v>89</v>
      </c>
      <c r="F30" s="12" t="str">
        <f>RISULTATI!C29</f>
        <v/>
      </c>
      <c r="G30" s="12" t="str">
        <f>RISULTATI!D29</f>
        <v/>
      </c>
      <c r="H30" s="12" t="str">
        <f>RISULTATI!E29</f>
        <v/>
      </c>
      <c r="I30" s="79" t="str">
        <f>RISULTATI!F29</f>
        <v/>
      </c>
      <c r="J30" s="12" t="str">
        <f>RISULTATI!G29</f>
        <v/>
      </c>
      <c r="K30" s="12">
        <f>RISULTATI!H29</f>
        <v>10</v>
      </c>
      <c r="L30" s="12" t="str">
        <f>RISULTATI!I29</f>
        <v/>
      </c>
      <c r="M30" s="79">
        <f>RISULTATI!J29</f>
        <v>10</v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 t="str">
        <f>RISULTATI!P29</f>
        <v/>
      </c>
      <c r="T30" s="12" t="str">
        <f>RISULTATI!Q29</f>
        <v/>
      </c>
      <c r="U30" s="79" t="str">
        <f>RISULTATI!R29</f>
        <v/>
      </c>
      <c r="V30" s="12" t="str">
        <f>RISULTATI!S29</f>
        <v/>
      </c>
      <c r="W30" s="12" t="str">
        <f>RISULTATI!T29</f>
        <v/>
      </c>
      <c r="X30" s="12" t="str">
        <f>RISULTATI!U29</f>
        <v/>
      </c>
      <c r="Y30" s="79" t="str">
        <f>RISULTATI!V29</f>
        <v/>
      </c>
      <c r="Z30" s="80">
        <f>RISULTATI!W29</f>
        <v>10</v>
      </c>
    </row>
    <row r="31" spans="1:16353" ht="20" customHeight="1" x14ac:dyDescent="0.2">
      <c r="A31" s="71" t="s">
        <v>9</v>
      </c>
      <c r="B31" s="67" t="str">
        <f>RISULTATI!B30</f>
        <v>TLM_dimaa66</v>
      </c>
      <c r="C31" s="67" t="str">
        <f>VLOOKUP(B31,nomi!B:C,2,FALSE)</f>
        <v>TLM_Dimaaa_66</v>
      </c>
      <c r="D31" s="67" t="str">
        <f>VLOOKUP(B31,nomi!B:G,6,FALSE)</f>
        <v>TLM</v>
      </c>
      <c r="E31" s="92">
        <f>VLOOKUP(B31,nomi!B:I,8,FALSE)</f>
        <v>66</v>
      </c>
      <c r="F31" s="12" t="str">
        <f>RISULTATI!C30</f>
        <v/>
      </c>
      <c r="G31" s="12">
        <f>RISULTATI!D30</f>
        <v>14</v>
      </c>
      <c r="H31" s="12" t="str">
        <f>RISULTATI!E30</f>
        <v/>
      </c>
      <c r="I31" s="79">
        <f>RISULTATI!F30</f>
        <v>14</v>
      </c>
      <c r="J31" s="12" t="str">
        <f>RISULTATI!G30</f>
        <v/>
      </c>
      <c r="K31" s="12">
        <f>RISULTATI!H30</f>
        <v>6</v>
      </c>
      <c r="L31" s="12" t="str">
        <f>RISULTATI!I30</f>
        <v/>
      </c>
      <c r="M31" s="79">
        <f>RISULTATI!J30</f>
        <v>6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20</v>
      </c>
    </row>
    <row r="32" spans="1:16353" ht="20" customHeight="1" x14ac:dyDescent="0.2">
      <c r="A32" s="71" t="s">
        <v>10</v>
      </c>
      <c r="B32" s="67" t="str">
        <f>RISULTATI!B31</f>
        <v>Febshy</v>
      </c>
      <c r="C32" s="67" t="str">
        <f>VLOOKUP(B32,nomi!B:C,2,FALSE)</f>
        <v>TLM Febshy</v>
      </c>
      <c r="D32" s="67" t="str">
        <f>VLOOKUP(B32,nomi!B:G,6,FALSE)</f>
        <v>TLM</v>
      </c>
      <c r="E32" s="92">
        <f>VLOOKUP(B32,nomi!B:I,8,FALSE)</f>
        <v>29</v>
      </c>
      <c r="F32" s="12" t="str">
        <f>RISULTATI!C31</f>
        <v/>
      </c>
      <c r="G32" s="12">
        <f>RISULTATI!D31</f>
        <v>6</v>
      </c>
      <c r="H32" s="12" t="str">
        <f>RISULTATI!E31</f>
        <v/>
      </c>
      <c r="I32" s="79">
        <f>RISULTATI!F31</f>
        <v>6</v>
      </c>
      <c r="J32" s="12" t="str">
        <f>RISULTATI!G31</f>
        <v/>
      </c>
      <c r="K32" s="12">
        <f>RISULTATI!H31</f>
        <v>4</v>
      </c>
      <c r="L32" s="12" t="str">
        <f>RISULTATI!I31</f>
        <v/>
      </c>
      <c r="M32" s="79">
        <f>RISULTATI!J31</f>
        <v>4</v>
      </c>
      <c r="N32" s="12" t="str">
        <f>RISULTATI!K31</f>
        <v/>
      </c>
      <c r="O32" s="12" t="str">
        <f>RISULTATI!L31</f>
        <v/>
      </c>
      <c r="P32" s="12" t="str">
        <f>RISULTATI!M31</f>
        <v/>
      </c>
      <c r="Q32" s="79" t="str">
        <f>RISULTATI!N31</f>
        <v/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10</v>
      </c>
    </row>
    <row r="33" spans="1:26" ht="20" customHeight="1" x14ac:dyDescent="0.2">
      <c r="A33" s="71" t="s">
        <v>11</v>
      </c>
      <c r="B33" s="67" t="str">
        <f>RISULTATI!B32</f>
        <v>CTR_ocior-78</v>
      </c>
      <c r="C33" s="67" t="str">
        <f>VLOOKUP(B33,nomi!B:C,2,FALSE)</f>
        <v>TLM-Ocior78</v>
      </c>
      <c r="D33" s="67" t="str">
        <f>VLOOKUP(B33,nomi!B:G,6,FALSE)</f>
        <v>TLM</v>
      </c>
      <c r="E33" s="92">
        <f>VLOOKUP(B33,nomi!B:I,8,FALSE)</f>
        <v>104</v>
      </c>
      <c r="F33" s="12" t="str">
        <f>RISULTATI!C32</f>
        <v/>
      </c>
      <c r="G33" s="12">
        <f>RISULTATI!D32</f>
        <v>2</v>
      </c>
      <c r="H33" s="12" t="str">
        <f>RISULTATI!E32</f>
        <v/>
      </c>
      <c r="I33" s="79">
        <f>RISULTATI!F32</f>
        <v>2</v>
      </c>
      <c r="J33" s="12" t="str">
        <f>RISULTATI!G32</f>
        <v/>
      </c>
      <c r="K33" s="12">
        <f>RISULTATI!H32</f>
        <v>2</v>
      </c>
      <c r="L33" s="12" t="str">
        <f>RISULTATI!I32</f>
        <v/>
      </c>
      <c r="M33" s="79">
        <f>RISULTATI!J32</f>
        <v>2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4</v>
      </c>
    </row>
    <row r="34" spans="1:26" ht="20" customHeight="1" x14ac:dyDescent="0.2">
      <c r="A34" s="71" t="s">
        <v>12</v>
      </c>
      <c r="B34" s="67" t="str">
        <f>RISULTATI!B33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92">
        <f>VLOOKUP(B34,nomi!B:I,8,FALSE)</f>
        <v>25</v>
      </c>
      <c r="F34" s="12" t="str">
        <f>RISULTATI!C33</f>
        <v/>
      </c>
      <c r="G34" s="12">
        <f>RISULTATI!D33</f>
        <v>1.01</v>
      </c>
      <c r="H34" s="12" t="str">
        <f>RISULTATI!E33</f>
        <v/>
      </c>
      <c r="I34" s="79">
        <f>RISULTATI!F33</f>
        <v>1.01</v>
      </c>
      <c r="J34" s="12" t="str">
        <f>RISULTATI!G33</f>
        <v/>
      </c>
      <c r="K34" s="12">
        <f>RISULTATI!H33</f>
        <v>1.01</v>
      </c>
      <c r="L34" s="12" t="str">
        <f>RISULTATI!I33</f>
        <v/>
      </c>
      <c r="M34" s="79">
        <f>RISULTATI!J33</f>
        <v>1.01</v>
      </c>
      <c r="N34" s="12" t="str">
        <f>RISULTATI!K33</f>
        <v/>
      </c>
      <c r="O34" s="12" t="str">
        <f>RISULTATI!L33</f>
        <v/>
      </c>
      <c r="P34" s="12" t="str">
        <f>RISULTATI!M33</f>
        <v/>
      </c>
      <c r="Q34" s="79" t="str">
        <f>RISULTATI!N33</f>
        <v/>
      </c>
      <c r="R34" s="12" t="str">
        <f>RISULTATI!O33</f>
        <v/>
      </c>
      <c r="S34" s="12" t="str">
        <f>RISULTATI!P33</f>
        <v/>
      </c>
      <c r="T34" s="12" t="str">
        <f>RISULTATI!Q33</f>
        <v/>
      </c>
      <c r="U34" s="79" t="str">
        <f>RISULTATI!R33</f>
        <v/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2.02</v>
      </c>
    </row>
    <row r="35" spans="1:26" ht="20" customHeight="1" x14ac:dyDescent="0.2">
      <c r="A35" s="71" t="s">
        <v>13</v>
      </c>
      <c r="B35" s="67" t="str">
        <f>RISULTATI!B34</f>
        <v>TLM_michaelFox12</v>
      </c>
      <c r="C35" s="67" t="str">
        <f>VLOOKUP(B35,nomi!B:C,2,FALSE)</f>
        <v>TLM_michaelfox12</v>
      </c>
      <c r="D35" s="67" t="str">
        <f>VLOOKUP(B35,nomi!B:G,6,FALSE)</f>
        <v>TLM</v>
      </c>
      <c r="E35" s="92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9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9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13.000999999999999</v>
      </c>
    </row>
    <row r="36" spans="1:26" ht="20" customHeight="1" x14ac:dyDescent="0.2">
      <c r="A36" s="71">
        <v>13</v>
      </c>
      <c r="B36" s="67" t="str">
        <f>RISULTATI!B35</f>
        <v>Mikedb__91__</v>
      </c>
      <c r="C36" s="67" t="str">
        <f>VLOOKUP(B36,nomi!B:C,2,FALSE)</f>
        <v>TLM-Mike91</v>
      </c>
      <c r="D36" s="67" t="str">
        <f>VLOOKUP(B36,nomi!B:G,6,FALSE)</f>
        <v>TLM</v>
      </c>
      <c r="E36" s="92">
        <f>VLOOKUP(B36,nomi!B:I,8,FALSE)</f>
        <v>3</v>
      </c>
      <c r="F36" s="12" t="str">
        <f>RISULTATI!C35</f>
        <v/>
      </c>
      <c r="G36" s="12">
        <f>RISULTATI!D35</f>
        <v>1.0009999999999999</v>
      </c>
      <c r="H36" s="12" t="str">
        <f>RISULTATI!E35</f>
        <v/>
      </c>
      <c r="I36" s="79">
        <f>RISULTATI!F35</f>
        <v>1.0009999999999999</v>
      </c>
      <c r="J36" s="12" t="str">
        <f>RISULTATI!G35</f>
        <v/>
      </c>
      <c r="K36" s="12">
        <f>RISULTATI!H35</f>
        <v>1.0001</v>
      </c>
      <c r="L36" s="12" t="str">
        <f>RISULTATI!I35</f>
        <v/>
      </c>
      <c r="M36" s="79">
        <f>RISULTATI!J35</f>
        <v>1.0001</v>
      </c>
      <c r="N36" s="12" t="str">
        <f>RISULTATI!K35</f>
        <v/>
      </c>
      <c r="O36" s="12" t="str">
        <f>RISULTATI!L35</f>
        <v/>
      </c>
      <c r="P36" s="12" t="str">
        <f>RISULTATI!M35</f>
        <v/>
      </c>
      <c r="Q36" s="79" t="str">
        <f>RISULTATI!N35</f>
        <v/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2.0011000000000001</v>
      </c>
    </row>
    <row r="37" spans="1:26" ht="20" customHeight="1" x14ac:dyDescent="0.2">
      <c r="A37" s="71">
        <v>14</v>
      </c>
      <c r="B37" s="67" t="str">
        <f>RISULTATI!B36</f>
        <v>TLM_Sicily22</v>
      </c>
      <c r="C37" s="67" t="str">
        <f>VLOOKUP(B37,nomi!B:C,2,FALSE)</f>
        <v>M.Di Bartolo</v>
      </c>
      <c r="D37" s="67" t="str">
        <f>VLOOKUP(B37,nomi!B:G,6,FALSE)</f>
        <v>TLM</v>
      </c>
      <c r="E37" s="92">
        <f>VLOOKUP(B37,nomi!B:I,8,FALSE)</f>
        <v>1</v>
      </c>
      <c r="F37" s="12" t="str">
        <f>RISULTATI!C36</f>
        <v/>
      </c>
      <c r="G37" s="12" t="str">
        <f>RISULTATI!D36</f>
        <v/>
      </c>
      <c r="H37" s="12" t="str">
        <f>RISULTATI!E36</f>
        <v/>
      </c>
      <c r="I37" s="79" t="str">
        <f>RISULTATI!F36</f>
        <v/>
      </c>
      <c r="J37" s="12" t="str">
        <f>RISULTATI!G36</f>
        <v/>
      </c>
      <c r="K37" s="12">
        <f>RISULTATI!H36</f>
        <v>1.0000100000000001</v>
      </c>
      <c r="L37" s="12" t="str">
        <f>RISULTATI!I36</f>
        <v/>
      </c>
      <c r="M37" s="79">
        <f>RISULTATI!J36</f>
        <v>1.0000100000000001</v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1.0000100000000001</v>
      </c>
    </row>
    <row r="38" spans="1:26" ht="20" customHeight="1" x14ac:dyDescent="0.2">
      <c r="A38" s="71">
        <v>15</v>
      </c>
      <c r="B38" s="67" t="str">
        <f>RISULTATI!B37</f>
        <v>Chry-77</v>
      </c>
      <c r="C38" s="67" t="str">
        <f>VLOOKUP(B38,nomi!B:C,2,FALSE)</f>
        <v>TLM_Chry-77</v>
      </c>
      <c r="D38" s="67" t="str">
        <f>VLOOKUP(B38,nomi!B:G,6,FALSE)</f>
        <v>TLM</v>
      </c>
      <c r="E38" s="92">
        <f>VLOOKUP(B38,nomi!B:I,8,FALSE)</f>
        <v>77</v>
      </c>
      <c r="F38" s="12" t="str">
        <f>RISULTATI!C37</f>
        <v/>
      </c>
      <c r="G38" s="12">
        <f>RISULTATI!D37</f>
        <v>1.0001</v>
      </c>
      <c r="H38" s="12" t="str">
        <f>RISULTATI!E37</f>
        <v/>
      </c>
      <c r="I38" s="79">
        <f>RISULTATI!F37</f>
        <v>1.0001</v>
      </c>
      <c r="J38" s="12" t="str">
        <f>RISULTATI!G37</f>
        <v/>
      </c>
      <c r="K38" s="12" t="str">
        <f>RISULTATI!H37</f>
        <v/>
      </c>
      <c r="L38" s="12" t="str">
        <f>RISULTATI!I37</f>
        <v/>
      </c>
      <c r="M38" s="79" t="str">
        <f>RISULTATI!J37</f>
        <v/>
      </c>
      <c r="N38" s="12" t="str">
        <f>RISULTATI!K37</f>
        <v/>
      </c>
      <c r="O38" s="12" t="str">
        <f>RISULTATI!L37</f>
        <v/>
      </c>
      <c r="P38" s="12" t="str">
        <f>RISULTATI!M37</f>
        <v/>
      </c>
      <c r="Q38" s="79" t="str">
        <f>RISULTATI!N37</f>
        <v/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1.0001</v>
      </c>
    </row>
    <row r="39" spans="1:26" ht="20" customHeight="1" x14ac:dyDescent="0.2">
      <c r="A39" s="71">
        <v>16</v>
      </c>
      <c r="B39" s="67" t="str">
        <f>RISULTATI!B38</f>
        <v>Asseemazz</v>
      </c>
      <c r="C39" s="67" t="str">
        <f>VLOOKUP(B39,nomi!B:C,2,FALSE)</f>
        <v>TLM_GAMMA</v>
      </c>
      <c r="D39" s="67" t="str">
        <f>VLOOKUP(B39,nomi!B:G,6,FALSE)</f>
        <v>TLM</v>
      </c>
      <c r="E39" s="92">
        <f>VLOOKUP(B39,nomi!B:I,8,FALSE)</f>
        <v>33</v>
      </c>
      <c r="F39" s="12" t="str">
        <f>RISULTATI!C38</f>
        <v/>
      </c>
      <c r="G39" s="12">
        <f>RISULTATI!D38</f>
        <v>4</v>
      </c>
      <c r="H39" s="12" t="str">
        <f>RISULTATI!E38</f>
        <v/>
      </c>
      <c r="I39" s="79">
        <f>RISULTATI!F38</f>
        <v>4</v>
      </c>
      <c r="J39" s="12" t="str">
        <f>RISULTATI!G38</f>
        <v/>
      </c>
      <c r="K39" s="12" t="str">
        <f>RISULTATI!H38</f>
        <v/>
      </c>
      <c r="L39" s="12" t="str">
        <f>RISULTATI!I38</f>
        <v/>
      </c>
      <c r="M39" s="79" t="str">
        <f>RISULTATI!J38</f>
        <v/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9" t="str">
        <f>RISULTATI!N38</f>
        <v/>
      </c>
      <c r="R39" s="12" t="str">
        <f>RISULTATI!O38</f>
        <v/>
      </c>
      <c r="S39" s="12" t="str">
        <f>RISULTATI!P38</f>
        <v/>
      </c>
      <c r="T39" s="12" t="str">
        <f>RISULTATI!Q38</f>
        <v/>
      </c>
      <c r="U39" s="79" t="str">
        <f>RISULTATI!R38</f>
        <v/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4</v>
      </c>
    </row>
    <row r="40" spans="1:26" ht="20" customHeight="1" x14ac:dyDescent="0.2">
      <c r="A40" s="71">
        <v>17</v>
      </c>
      <c r="B40" s="67" t="str">
        <f>RISULTATI!B39</f>
        <v>Ulix1990</v>
      </c>
      <c r="C40" s="67" t="str">
        <f>VLOOKUP(B40,nomi!B:C,2,FALSE)</f>
        <v>TLM_Ulix1990*</v>
      </c>
      <c r="D40" s="67" t="str">
        <f>VLOOKUP(B40,nomi!B:G,6,FALSE)</f>
        <v>TLM</v>
      </c>
      <c r="E40" s="92">
        <f>VLOOKUP(B40,nomi!B:I,8,FALSE)</f>
        <v>22</v>
      </c>
      <c r="F40" s="12" t="str">
        <f>RISULTATI!C39</f>
        <v/>
      </c>
      <c r="G40" s="12">
        <f>RISULTATI!D39</f>
        <v>18</v>
      </c>
      <c r="H40" s="12" t="str">
        <f>RISULTATI!E39</f>
        <v/>
      </c>
      <c r="I40" s="79">
        <f>RISULTATI!F39</f>
        <v>18</v>
      </c>
      <c r="J40" s="12" t="str">
        <f>RISULTATI!G39</f>
        <v/>
      </c>
      <c r="K40" s="12" t="str">
        <f>RISULTATI!H39</f>
        <v/>
      </c>
      <c r="L40" s="12" t="str">
        <f>RISULTATI!I39</f>
        <v/>
      </c>
      <c r="M40" s="79" t="str">
        <f>RISULTATI!J39</f>
        <v/>
      </c>
      <c r="N40" s="12" t="str">
        <f>RISULTATI!K39</f>
        <v/>
      </c>
      <c r="O40" s="12" t="str">
        <f>RISULTATI!L39</f>
        <v/>
      </c>
      <c r="P40" s="12" t="str">
        <f>RISULTATI!M39</f>
        <v/>
      </c>
      <c r="Q40" s="79" t="str">
        <f>RISULTATI!N39</f>
        <v/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18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2" t="e" vm="1">
        <v>#VALUE!</v>
      </c>
      <c r="B1" s="122"/>
      <c r="C1" s="122"/>
      <c r="D1" s="122"/>
      <c r="E1" s="122"/>
      <c r="F1" s="122"/>
      <c r="G1" s="122"/>
    </row>
    <row r="2" spans="1:7" ht="43" customHeight="1" x14ac:dyDescent="0.2">
      <c r="A2" s="123" t="s">
        <v>417</v>
      </c>
      <c r="B2" s="123"/>
      <c r="C2" s="123"/>
      <c r="D2" s="123"/>
      <c r="E2" s="123"/>
      <c r="F2" s="123"/>
      <c r="G2" s="123"/>
    </row>
    <row r="3" spans="1:7" ht="20" customHeight="1" x14ac:dyDescent="0.2">
      <c r="A3" s="124" t="s">
        <v>375</v>
      </c>
      <c r="B3" s="125"/>
      <c r="C3" s="126"/>
      <c r="D3" s="65"/>
      <c r="E3" s="124" t="s">
        <v>375</v>
      </c>
      <c r="F3" s="125"/>
      <c r="G3" s="126"/>
    </row>
    <row r="4" spans="1:7" ht="20" customHeight="1" x14ac:dyDescent="0.2">
      <c r="A4" s="66" t="s">
        <v>374</v>
      </c>
      <c r="B4" s="121" t="s">
        <v>48</v>
      </c>
      <c r="C4" s="121"/>
      <c r="D4" s="65"/>
      <c r="E4" s="66" t="s">
        <v>374</v>
      </c>
      <c r="F4" s="121" t="s">
        <v>60</v>
      </c>
      <c r="G4" s="121"/>
    </row>
    <row r="5" spans="1:7" ht="20" customHeight="1" x14ac:dyDescent="0.2">
      <c r="A5" s="120" t="s">
        <v>391</v>
      </c>
      <c r="B5" s="120"/>
      <c r="C5" s="120"/>
      <c r="D5" s="65"/>
      <c r="E5" s="120" t="s">
        <v>392</v>
      </c>
      <c r="F5" s="120"/>
      <c r="G5" s="120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6" sqref="B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27" t="s">
        <v>362</v>
      </c>
      <c r="B1" s="127"/>
      <c r="C1" s="127"/>
      <c r="D1" s="127"/>
      <c r="E1" s="127"/>
      <c r="F1" s="127"/>
      <c r="G1" s="127"/>
    </row>
    <row r="2" spans="1:7" ht="22" customHeight="1" x14ac:dyDescent="0.2">
      <c r="A2" s="128" t="s">
        <v>390</v>
      </c>
      <c r="B2" s="128"/>
      <c r="C2" s="128"/>
      <c r="D2" s="128"/>
      <c r="E2" s="128"/>
      <c r="F2" s="128"/>
      <c r="G2" s="128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431</v>
      </c>
      <c r="C5" s="51" t="s">
        <v>48</v>
      </c>
      <c r="D5" s="51" t="s">
        <v>169</v>
      </c>
      <c r="E5" s="49" t="s">
        <v>425</v>
      </c>
      <c r="F5" s="49">
        <v>5</v>
      </c>
      <c r="G5" s="52" t="s">
        <v>430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9" t="s">
        <v>373</v>
      </c>
      <c r="B13" s="129"/>
      <c r="C13" s="130"/>
      <c r="D13" s="130"/>
      <c r="E13" s="130"/>
      <c r="F13" s="130"/>
      <c r="G13" s="130"/>
    </row>
    <row r="14" spans="1:7" x14ac:dyDescent="0.2">
      <c r="A14" s="131"/>
      <c r="B14" s="131"/>
      <c r="C14" s="131"/>
      <c r="D14" s="131"/>
      <c r="E14" s="131"/>
      <c r="F14" s="131"/>
      <c r="G14" s="131"/>
    </row>
    <row r="15" spans="1:7" x14ac:dyDescent="0.2">
      <c r="A15" s="132"/>
      <c r="B15" s="132"/>
      <c r="C15" s="132"/>
      <c r="D15" s="132"/>
      <c r="E15" s="132"/>
      <c r="F15" s="132"/>
      <c r="G15" s="132"/>
    </row>
    <row r="16" spans="1:7" x14ac:dyDescent="0.2">
      <c r="A16" s="132"/>
      <c r="B16" s="132"/>
      <c r="C16" s="132"/>
      <c r="D16" s="132"/>
      <c r="E16" s="132"/>
      <c r="F16" s="132"/>
      <c r="G16" s="132"/>
    </row>
    <row r="17" spans="1:7" x14ac:dyDescent="0.2">
      <c r="A17" s="132"/>
      <c r="B17" s="132"/>
      <c r="C17" s="132"/>
      <c r="D17" s="132"/>
      <c r="E17" s="132"/>
      <c r="F17" s="132"/>
      <c r="G17" s="132"/>
    </row>
    <row r="18" spans="1:7" x14ac:dyDescent="0.2">
      <c r="A18" s="132"/>
      <c r="B18" s="132"/>
      <c r="C18" s="132"/>
      <c r="D18" s="132"/>
      <c r="E18" s="132"/>
      <c r="F18" s="132"/>
      <c r="G18" s="132"/>
    </row>
    <row r="19" spans="1:7" x14ac:dyDescent="0.2">
      <c r="A19" s="132"/>
      <c r="B19" s="132"/>
      <c r="C19" s="132"/>
      <c r="D19" s="132"/>
      <c r="E19" s="132"/>
      <c r="F19" s="132"/>
      <c r="G19" s="132"/>
    </row>
    <row r="20" spans="1:7" x14ac:dyDescent="0.2">
      <c r="A20" s="132"/>
      <c r="B20" s="132"/>
      <c r="C20" s="132"/>
      <c r="D20" s="132"/>
      <c r="E20" s="132"/>
      <c r="F20" s="132"/>
      <c r="G20" s="132"/>
    </row>
    <row r="21" spans="1:7" x14ac:dyDescent="0.2">
      <c r="A21" s="132"/>
      <c r="B21" s="132"/>
      <c r="C21" s="132"/>
      <c r="D21" s="132"/>
      <c r="E21" s="132"/>
      <c r="F21" s="132"/>
      <c r="G21" s="132"/>
    </row>
    <row r="22" spans="1:7" x14ac:dyDescent="0.2">
      <c r="A22" s="132"/>
      <c r="B22" s="132"/>
      <c r="C22" s="132"/>
      <c r="D22" s="132"/>
      <c r="E22" s="132"/>
      <c r="F22" s="132"/>
      <c r="G22" s="132"/>
    </row>
    <row r="23" spans="1:7" x14ac:dyDescent="0.2">
      <c r="A23" s="132"/>
      <c r="B23" s="132"/>
      <c r="C23" s="132"/>
      <c r="D23" s="132"/>
      <c r="E23" s="132"/>
      <c r="F23" s="132"/>
      <c r="G23" s="132"/>
    </row>
    <row r="24" spans="1:7" x14ac:dyDescent="0.2">
      <c r="A24" s="132"/>
      <c r="B24" s="132"/>
      <c r="C24" s="132"/>
      <c r="D24" s="132"/>
      <c r="E24" s="132"/>
      <c r="F24" s="132"/>
      <c r="G24" s="132"/>
    </row>
    <row r="25" spans="1:7" x14ac:dyDescent="0.2">
      <c r="A25" s="132"/>
      <c r="B25" s="132"/>
      <c r="C25" s="132"/>
      <c r="D25" s="132"/>
      <c r="E25" s="132"/>
      <c r="F25" s="132"/>
      <c r="G25" s="132"/>
    </row>
    <row r="26" spans="1:7" x14ac:dyDescent="0.2">
      <c r="A26" s="132"/>
      <c r="B26" s="132"/>
      <c r="C26" s="132"/>
      <c r="D26" s="132"/>
      <c r="E26" s="132"/>
      <c r="F26" s="132"/>
      <c r="G26" s="132"/>
    </row>
    <row r="27" spans="1:7" x14ac:dyDescent="0.2">
      <c r="A27" s="132"/>
      <c r="B27" s="132"/>
      <c r="C27" s="132"/>
      <c r="D27" s="132"/>
      <c r="E27" s="132"/>
      <c r="F27" s="132"/>
      <c r="G27" s="132"/>
    </row>
    <row r="28" spans="1:7" x14ac:dyDescent="0.2">
      <c r="A28" s="132"/>
      <c r="B28" s="132"/>
      <c r="C28" s="132"/>
      <c r="D28" s="132"/>
      <c r="E28" s="132"/>
      <c r="F28" s="132"/>
      <c r="G28" s="132"/>
    </row>
    <row r="29" spans="1:7" x14ac:dyDescent="0.2">
      <c r="A29" s="132"/>
      <c r="B29" s="132"/>
      <c r="C29" s="132"/>
      <c r="D29" s="132"/>
      <c r="E29" s="132"/>
      <c r="F29" s="132"/>
      <c r="G29" s="132"/>
    </row>
    <row r="30" spans="1:7" x14ac:dyDescent="0.2">
      <c r="A30" s="132"/>
      <c r="B30" s="132"/>
      <c r="C30" s="132"/>
      <c r="D30" s="132"/>
      <c r="E30" s="132"/>
      <c r="F30" s="132"/>
      <c r="G30" s="132"/>
    </row>
    <row r="31" spans="1:7" x14ac:dyDescent="0.2">
      <c r="A31" s="132"/>
      <c r="B31" s="132"/>
      <c r="C31" s="132"/>
      <c r="D31" s="132"/>
      <c r="E31" s="132"/>
      <c r="F31" s="132"/>
      <c r="G31" s="132"/>
    </row>
    <row r="32" spans="1:7" x14ac:dyDescent="0.2">
      <c r="A32" s="132"/>
      <c r="B32" s="132"/>
      <c r="C32" s="132"/>
      <c r="D32" s="132"/>
      <c r="E32" s="132"/>
      <c r="F32" s="132"/>
      <c r="G32" s="132"/>
    </row>
    <row r="33" spans="1:7" x14ac:dyDescent="0.2">
      <c r="A33" s="132"/>
      <c r="B33" s="132"/>
      <c r="C33" s="132"/>
      <c r="D33" s="132"/>
      <c r="E33" s="132"/>
      <c r="F33" s="132"/>
      <c r="G33" s="132"/>
    </row>
    <row r="34" spans="1:7" x14ac:dyDescent="0.2">
      <c r="A34" s="132"/>
      <c r="B34" s="132"/>
      <c r="C34" s="132"/>
      <c r="D34" s="132"/>
      <c r="E34" s="132"/>
      <c r="F34" s="132"/>
      <c r="G34" s="132"/>
    </row>
    <row r="35" spans="1:7" x14ac:dyDescent="0.2">
      <c r="A35" s="132"/>
      <c r="B35" s="132"/>
      <c r="C35" s="132"/>
      <c r="D35" s="132"/>
      <c r="E35" s="132"/>
      <c r="F35" s="132"/>
      <c r="G35" s="132"/>
    </row>
    <row r="36" spans="1:7" x14ac:dyDescent="0.2">
      <c r="A36" s="132"/>
      <c r="B36" s="132"/>
      <c r="C36" s="132"/>
      <c r="D36" s="132"/>
      <c r="E36" s="132"/>
      <c r="F36" s="132"/>
      <c r="G36" s="132"/>
    </row>
    <row r="37" spans="1:7" x14ac:dyDescent="0.2">
      <c r="A37" s="132"/>
      <c r="B37" s="132"/>
      <c r="C37" s="132"/>
      <c r="D37" s="132"/>
      <c r="E37" s="132"/>
      <c r="F37" s="132"/>
      <c r="G37" s="132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3"/>
      <c r="B2" s="133"/>
      <c r="C2" s="133"/>
      <c r="D2" s="133"/>
      <c r="E2" s="133"/>
      <c r="F2" s="133"/>
      <c r="G2" s="133"/>
      <c r="H2" s="15"/>
      <c r="I2" s="133"/>
      <c r="J2" s="133"/>
      <c r="K2" s="133"/>
      <c r="L2" s="133"/>
      <c r="M2" s="133"/>
      <c r="N2" s="133"/>
      <c r="O2" s="133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2024-11-01T15:14:49Z</dcterms:modified>
</cp:coreProperties>
</file>