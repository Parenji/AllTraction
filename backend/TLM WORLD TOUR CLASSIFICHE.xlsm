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AD88CC5A-2DAA-D842-82D7-69504F4B194A}" xr6:coauthVersionLast="47" xr6:coauthVersionMax="47" xr10:uidLastSave="{00000000-0000-0000-0000-000000000000}"/>
  <bookViews>
    <workbookView xWindow="880" yWindow="500" windowWidth="27920" windowHeight="17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1" i="1" l="1"/>
  <c r="BJ11" i="1"/>
  <c r="BF11" i="1"/>
  <c r="BB11" i="1"/>
  <c r="AX11" i="1"/>
  <c r="AT11" i="1"/>
  <c r="AP11" i="1"/>
  <c r="AA8" i="1"/>
  <c r="Z8" i="1"/>
  <c r="V8" i="1"/>
  <c r="V71" i="1" s="1"/>
  <c r="R8" i="1"/>
  <c r="R71" i="1" s="1"/>
  <c r="N8" i="1"/>
  <c r="J8" i="1"/>
  <c r="F8" i="1"/>
  <c r="BK10" i="1"/>
  <c r="BJ10" i="1"/>
  <c r="BF10" i="1"/>
  <c r="BB10" i="1"/>
  <c r="AX10" i="1"/>
  <c r="AT10" i="1"/>
  <c r="AP10" i="1"/>
  <c r="AA32" i="1"/>
  <c r="Z32" i="1"/>
  <c r="V32" i="1"/>
  <c r="R32" i="1"/>
  <c r="R94" i="1" s="1"/>
  <c r="N32" i="1"/>
  <c r="N94" i="1" s="1"/>
  <c r="J32" i="1"/>
  <c r="F32" i="1"/>
  <c r="F94" i="1" s="1"/>
  <c r="AA23" i="1"/>
  <c r="Z23" i="1"/>
  <c r="V23" i="1"/>
  <c r="R23" i="1"/>
  <c r="N23" i="1"/>
  <c r="N85" i="1" s="1"/>
  <c r="J23" i="1"/>
  <c r="F23" i="1"/>
  <c r="F85" i="1" s="1"/>
  <c r="AA6" i="1"/>
  <c r="Z6" i="1"/>
  <c r="V6" i="1"/>
  <c r="R6" i="1"/>
  <c r="N6" i="1"/>
  <c r="N69" i="1" s="1"/>
  <c r="J6" i="1"/>
  <c r="J69" i="1" s="1"/>
  <c r="F6" i="1"/>
  <c r="F69" i="1" s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AA9" i="1"/>
  <c r="Z9" i="1"/>
  <c r="Z72" i="1" s="1"/>
  <c r="V9" i="1"/>
  <c r="V72" i="1" s="1"/>
  <c r="R9" i="1"/>
  <c r="R72" i="1" s="1"/>
  <c r="N9" i="1"/>
  <c r="J9" i="1"/>
  <c r="J72" i="1" s="1"/>
  <c r="F9" i="1"/>
  <c r="D6" i="2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116" i="1"/>
  <c r="J116" i="1"/>
  <c r="N116" i="1"/>
  <c r="R116" i="1"/>
  <c r="V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120" i="1"/>
  <c r="N50" i="1"/>
  <c r="N110" i="1" s="1"/>
  <c r="J63" i="1"/>
  <c r="J123" i="1" s="1"/>
  <c r="J62" i="1"/>
  <c r="J122" i="1" s="1"/>
  <c r="J61" i="1"/>
  <c r="J121" i="1" s="1"/>
  <c r="J120" i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28" i="1"/>
  <c r="F90" i="1" s="1"/>
  <c r="F27" i="1"/>
  <c r="F89" i="1" s="1"/>
  <c r="F88" i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28" i="1"/>
  <c r="J90" i="1" s="1"/>
  <c r="J27" i="1"/>
  <c r="J89" i="1" s="1"/>
  <c r="J88" i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28" i="1"/>
  <c r="N90" i="1" s="1"/>
  <c r="N27" i="1"/>
  <c r="N88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AA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120" i="1"/>
  <c r="Z120" i="1"/>
  <c r="V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106" i="1"/>
  <c r="Z106" i="1"/>
  <c r="R106" i="1"/>
  <c r="N106" i="1"/>
  <c r="J106" i="1"/>
  <c r="F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N101" i="1"/>
  <c r="J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28" i="1"/>
  <c r="AA90" i="1" s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6" i="1"/>
  <c r="AA79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16" i="1"/>
  <c r="Z79" i="1" s="1"/>
  <c r="Z17" i="1"/>
  <c r="Z80" i="1" s="1"/>
  <c r="Z18" i="1"/>
  <c r="Z81" i="1" s="1"/>
  <c r="V69" i="1"/>
  <c r="V7" i="1"/>
  <c r="V70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<sst xmlns="http://schemas.openxmlformats.org/spreadsheetml/2006/main" count="1079" uniqueCount="420">
  <si>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</si>
  <si>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</si>
  <si>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</si>
  <si>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</si>
  <si>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</si>
  <si>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</si>
  <si>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</si>
  <si>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</si>
  <si>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</si>
  <si>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</si>
  <si>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</si>
  <si>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</si>
  <si>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</si>
  <si>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</si>
  <si>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</si>
  <si>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</si>
  <si>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</si>
  <si>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</si>
  <si>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</si>
  <si>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</si>
  <si>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</si>
  <si>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</si>
  <si>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</si>
  <si>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</si>
  <si>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</si>
  <si>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</si>
  <si>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</si>
  <si>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</si>
  <si>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</si>
  <si>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</si>
  <si>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</si>
  <si>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</si>
  <si>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</si>
  <si>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</si>
  <si>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</si>
  <si>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</si>
  <si>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</si>
  <si>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</si>
  <si>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</si>
  <si>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</si>
  <si>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</si>
  <si>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</si>
  <si>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</si>
  <si>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</si>
  <si>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</si>
  <si>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</si>
  <si>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</si>
  <si>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</si>
  <si>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</si>
  <si>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</si>
  <si>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</si>
  <si>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</si>
  <si>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</si>
  <si>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</si>
  <si>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</si>
  <si>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</si>
  <si>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</si>
  <si>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</si>
  <si>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</si>
  <si>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</si>
  <si>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</si>
  <si>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</si>
  <si>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</si>
  <si>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</si>
  <si>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</si>
  <si>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</si>
  <si>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</si>
  <si>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</si>
  <si>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</si>
  <si>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</si>
  <si>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</si>
  <si>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</si>
  <si>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</si>
  <si>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</si>
  <si>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</si>
  <si>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</si>
  <si>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</si>
  <si>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</si>
  <si>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</si>
  <si>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</si>
  <si>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</si>
  <si>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</si>
  <si>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</si>
  <si>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</si>
  <si>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</si>
  <si>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</si>
  <si>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</si>
  <si>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</si>
  <si>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</si>
  <si>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</si>
  <si>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</si>
  <si>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</si>
  <si>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</si>
  <si>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</si>
  <si>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</si>
  <si>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</si>
  <si>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</si>
  <si>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</si>
  <si>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</si>
  <si>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</si>
  <si>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</si>
  <si>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</si>
  <si>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</si>
  <si>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</si>
  <si>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</si>
  <si>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</si>
  <si>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</si>
  <si>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</si>
  <si>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</si>
  <si>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</si>
  <si>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</si>
  <si>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</si>
  <si>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</si>
  <si>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</si>
  <si>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</si>
  <si>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</si>
  <si>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</si>
  <si>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</si>
  <si>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</si>
  <si>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</si>
  <si>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</si>
  <si>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</si>
  <si>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</si>
  <si>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</si>
  <si>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</si>
  <si>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</si>
  <si>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</si>
  <si>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</si>
  <si>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</si>
  <si>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</si>
  <si>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</si>
  <si>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</si>
  <si>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</si>
  <si>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</si>
  <si>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</si>
  <si>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</si>
  <si>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</si>
  <si>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</si>
  <si>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</si>
  <si>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</si>
  <si>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</si>
  <si>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</si>
  <si>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</si>
  <si>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</si>
  <si>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</si>
  <si>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</si>
  <si>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</si>
  <si>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</si>
  <si>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</si>
  <si>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</si>
  <si>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</si>
  <si>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</si>
  <si>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</si>
  <si>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</si>
  <si>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</si>
  <si>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</si>
  <si>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</si>
  <si>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</si>
  <si>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</si>
  <si>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</si>
  <si>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</si>
  <si>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</si>
  <si>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</si>
  <si>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</si>
  <si>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</si>
  <si>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</si>
  <si>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</si>
  <si>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</si>
  <si>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</si>
  <si>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</si>
  <si>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</si>
  <si>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</si>
  <si>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</si>
  <si>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</si>
  <si>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</si>
  <si>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</si>
  <si>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</si>
  <si>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</si>
  <si>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</si>
  <si>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</si>
  <si>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</si>
  <si>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</si>
  <si>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</si>
  <si>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</si>
  <si>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</si>
  <si>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</si>
  <si>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</si>
  <si>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</si>
  <si>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</si>
  <si>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</si>
  <si>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</si>
  <si>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</si>
  <si>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</si>
  <si>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</si>
  <si>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</si>
  <si>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</si>
  <si>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</si>
  <si>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</si>
  <si>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</si>
  <si>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</si>
  <si>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</si>
  <si>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</si>
  <si>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</si>
  <si>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</si>
  <si>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</si>
  <si>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</si>
  <si>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</si>
  <si>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</si>
  <si>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</si>
  <si>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</si>
  <si>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</si>
  <si>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</si>
  <si>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</si>
  <si>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</si>
  <si>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</si>
  <si>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</si>
  <si>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</si>
  <si>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</si>
  <si>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</si>
  <si>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</si>
  <si>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</si>
  <si>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</si>
  <si>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</si>
  <si>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</si>
  <si>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</si>
  <si>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</si>
  <si>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</si>
  <si>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</si>
  <si>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</si>
  <si>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</si>
  <si>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</si>
  <si>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</si>
  <si>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</si>
  <si>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</si>
  <si>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</si>
  <si>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</si>
  <si>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</si>
  <si>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</si>
  <si>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</si>
  <si>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</si>
  <si>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</si>
  <si>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</si>
  <si>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</si>
  <si>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</si>
  <si>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</si>
  <si>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</si>
  <si>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</si>
  <si>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</si>
  <si>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</si>
  <si>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</si>
  <si>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</si>
  <si>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</si>
  <si>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</si>
  <si>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</si>
  <si>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</si>
  <si>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</si>
  <si>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</si>
  <si>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</si>
  <si>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</si>
  <si>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</si>
  <si>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</si>
  <si>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</si>
  <si>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</si>
  <si>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</si>
  <si>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</si>
  <si>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</si>
  <si>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</si>
  <si>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</si>
  <si>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</si>
  <si>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</si>
  <si>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</si>
  <si>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</si>
  <si>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</si>
  <si>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</si>
  <si>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</si>
  <si>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</si>
  <si>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</si>
  <si>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</si>
  <si>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</si>
  <si>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</si>
  <si>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</si>
  <si>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</si>
  <si>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</si>
  <si>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</si>
  <si>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</si>
  <si>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</si>
  <si>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</si>
  <si>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</si>
  <si>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</si>
  <si>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</si>
  <si>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</si>
  <si>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</si>
  <si>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</si>
  <si>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</si>
  <si>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</si>
  <si>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</si>
  <si>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</si>
  <si>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</si>
  <si>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</si>
  <si>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</si>
  <si>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</si>
  <si>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</si>
  <si>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</si>
  <si>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</si>
  <si>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</si>
  <si>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</si>
  <si>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</si>
  <si>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</si>
  <si>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</si>
  <si>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</si>
  <si>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</si>
  <si>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</si>
  <si>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</si>
  <si>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</si>
  <si>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</si>
  <si>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</si>
  <si>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</si>
  <si>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</si>
  <si>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</si>
  <si>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</si>
  <si>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</si>
  <si>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</si>
  <si>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</si>
  <si>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</si>
  <si>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</si>
  <si>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</si>
  <si>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</si>
  <si>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</si>
  <si>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</si>
  <si>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</si>
  <si>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</si>
  <si>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</si>
  <si>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</si>
  <si>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</si>
  <si>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</si>
  <si>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</si>
  <si>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</si>
  <si>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</si>
  <si>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</si>
  <si>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</si>
  <si>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</si>
  <si>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</si>
  <si>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</si>
  <si>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</si>
  <si>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</si>
  <si>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</si>
  <si>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</si>
  <si>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</si>
  <si>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</si>
  <si>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</si>
  <si>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</si>
  <si>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</si>
  <si>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</si>
  <si>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</si>
  <si>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</si>
  <si>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</si>
  <si>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</si>
  <si>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</si>
  <si>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</si>
  <si>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</si>
  <si>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</si>
  <si>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</si>
  <si>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</si>
  <si>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</si>
  <si>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</si>
  <si>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</si>
  <si>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</si>
  <si>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</si>
  <si>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</si>
  <si>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</si>
  <si>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</si>
  <si>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</si>
  <si>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</si>
  <si>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</si>
  <si>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</si>
  <si>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</si>
  <si>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</si>
  <si>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</si>
  <si>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</si>
  <si>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</si>
  <si>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</si>
  <si>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</si>
  <si>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</si>
  <si>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</si>
  <si>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</si>
  <si>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</si>
  <si>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</si>
  <si>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</si>
  <si>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</si>
  <si>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</si>
  <si>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</si>
  <si>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</si>
  <si>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</si>
  <si>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</si>
  <si>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</si>
  <si>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</si>
  <si>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</si>
  <si>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</si>
  <si>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</si>
  <si>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</si>
  <si>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</si>
  <si>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</si>
  <si>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</si>
  <si>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</si>
  <si>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</si>
  <si>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</si>
  <si>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</si>
  <si>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</si>
  <si>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</si>
  <si>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</si>
  <si>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</si>
  <si>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</si>
  <si>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</si>
  <si>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</si>
  <si>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</si>
  <si>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10"</t>
  </si>
  <si>
    <t>Provvedimento n. 4</t>
  </si>
  <si>
    <t>GARA 4</t>
  </si>
  <si>
    <t>Per il contatto alla curva 12 del giro 15</t>
  </si>
  <si>
    <t>Per il contatto alla curva 15 del giro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</si>
</sst>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35" zoomScale="94" zoomScaleNormal="94" workbookViewId="0">
      <selection activeCell="P52" sqref="P52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6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6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6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 t="s">
        <v>366</v>
      </c>
      <c r="C6" s="20"/>
      <c r="D6" s="20">
        <v>16</v>
      </c>
      <c r="E6" s="20"/>
      <c r="F6" s="47">
        <f t="shared" ref="F6" si="0">SUM(C6:E6)</f>
        <v>16</v>
      </c>
      <c r="G6" s="20"/>
      <c r="H6" s="20">
        <v>14</v>
      </c>
      <c r="I6" s="20"/>
      <c r="J6" s="47">
        <f t="shared" ref="J6" si="1">SUM(G6:I6)</f>
        <v>14</v>
      </c>
      <c r="K6" s="20"/>
      <c r="L6" s="20">
        <v>14</v>
      </c>
      <c r="M6" s="20"/>
      <c r="N6" s="47">
        <f t="shared" ref="N6" si="2">SUM(K6:M6)</f>
        <v>14</v>
      </c>
      <c r="O6" s="12"/>
      <c r="P6" s="12">
        <v>6</v>
      </c>
      <c r="Q6" s="12"/>
      <c r="R6" s="47">
        <f t="shared" ref="R6" si="3">SUM(O6:Q6)</f>
        <v>6</v>
      </c>
      <c r="S6" s="20"/>
      <c r="T6" s="20"/>
      <c r="U6" s="20"/>
      <c r="V6" s="47">
        <f t="shared" ref="V6" si="4">SUM(S6:U6)</f>
        <v>0</v>
      </c>
      <c r="W6" s="12"/>
      <c r="X6" s="12"/>
      <c r="Y6" s="12"/>
      <c r="Z6" s="47">
        <f t="shared" ref="Z6" si="5">SUM(W6:Y6)</f>
        <v>0</v>
      </c>
      <c r="AA6" s="24">
        <f t="shared" ref="AA6" si="6">SUM(C6:E6,G6:I6,K6:M6,O6:Q6,S6:U6,W6:Y6)</f>
        <v>50</v>
      </c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7">SUM(C7:E7)</f>
        <v>0</v>
      </c>
      <c r="G7" s="12"/>
      <c r="H7" s="12">
        <v>18</v>
      </c>
      <c r="I7" s="12"/>
      <c r="J7" s="47">
        <f t="shared" ref="J7:J18" si="8">SUM(G7:I7)</f>
        <v>18</v>
      </c>
      <c r="K7" s="12"/>
      <c r="L7" s="12">
        <v>12</v>
      </c>
      <c r="M7" s="12"/>
      <c r="N7" s="47">
        <f t="shared" ref="N7:N18" si="9">SUM(K7:M7)</f>
        <v>12</v>
      </c>
      <c r="O7" s="12"/>
      <c r="P7" s="12">
        <v>12</v>
      </c>
      <c r="Q7" s="12"/>
      <c r="R7" s="47">
        <f t="shared" ref="R7:R18" si="10">SUM(O7:Q7)</f>
        <v>12</v>
      </c>
      <c r="S7" s="12"/>
      <c r="T7" s="12"/>
      <c r="U7" s="12"/>
      <c r="V7" s="47">
        <f t="shared" ref="V7:V18" si="11">SUM(S7:U7)</f>
        <v>0</v>
      </c>
      <c r="W7" s="12"/>
      <c r="X7" s="12"/>
      <c r="Y7" s="12"/>
      <c r="Z7" s="47">
        <f t="shared" ref="Z7:Z18" si="12">SUM(W7:Y7)</f>
        <v>0</v>
      </c>
      <c r="AA7" s="24">
        <f t="shared" ref="AA7:AA18" si="13">SUM(C7:E7,G7:I7,K7:M7,O7:Q7,S7:U7,W7:Y7)</f>
        <v>42</v>
      </c>
      <c r="AF7">
        <v>4</v>
      </c>
      <c r="AG7">
        <v>16</v>
      </c>
    </row>
    <row r="8" spans="1:63" ht="19" customHeight="1" x14ac:dyDescent="0.25">
      <c r="A8" s="28" t="s">
        <v>5</v>
      </c>
      <c r="B8" s="59" t="s">
        <v>77</v>
      </c>
      <c r="C8" s="12"/>
      <c r="D8" s="12">
        <v>20</v>
      </c>
      <c r="E8" s="12"/>
      <c r="F8" s="47">
        <f t="shared" si="7"/>
        <v>20</v>
      </c>
      <c r="G8" s="12"/>
      <c r="H8" s="12">
        <v>14</v>
      </c>
      <c r="I8" s="12"/>
      <c r="J8" s="47">
        <f t="shared" si="8"/>
        <v>14</v>
      </c>
      <c r="K8" s="20"/>
      <c r="L8" s="20">
        <v>14</v>
      </c>
      <c r="M8" s="20"/>
      <c r="N8" s="47">
        <f t="shared" si="9"/>
        <v>14</v>
      </c>
      <c r="O8" s="12"/>
      <c r="P8" s="12"/>
      <c r="Q8" s="12"/>
      <c r="R8" s="47">
        <f t="shared" si="10"/>
        <v>0</v>
      </c>
      <c r="S8" s="12"/>
      <c r="T8" s="12"/>
      <c r="U8" s="12"/>
      <c r="V8" s="47">
        <f t="shared" si="11"/>
        <v>0</v>
      </c>
      <c r="W8" s="12"/>
      <c r="X8" s="12"/>
      <c r="Y8" s="12"/>
      <c r="Z8" s="47">
        <f t="shared" si="12"/>
        <v>0</v>
      </c>
      <c r="AA8" s="24">
        <f t="shared" si="13"/>
        <v>48</v>
      </c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 t="s">
        <v>42</v>
      </c>
      <c r="C9" s="49"/>
      <c r="D9" s="20">
        <v>0</v>
      </c>
      <c r="E9" s="20"/>
      <c r="F9" s="47">
        <f t="shared" si="7"/>
        <v>0</v>
      </c>
      <c r="G9" s="12"/>
      <c r="H9" s="12">
        <v>20</v>
      </c>
      <c r="I9" s="12"/>
      <c r="J9" s="47">
        <f t="shared" si="8"/>
        <v>20</v>
      </c>
      <c r="K9" s="12"/>
      <c r="L9" s="12">
        <v>20</v>
      </c>
      <c r="M9" s="12"/>
      <c r="N9" s="47">
        <f t="shared" si="9"/>
        <v>20</v>
      </c>
      <c r="O9" s="20"/>
      <c r="P9" s="20">
        <v>25</v>
      </c>
      <c r="Q9" s="20">
        <v>1</v>
      </c>
      <c r="R9" s="47">
        <f t="shared" si="10"/>
        <v>26</v>
      </c>
      <c r="S9" s="20"/>
      <c r="T9" s="20"/>
      <c r="U9" s="20"/>
      <c r="V9" s="47">
        <f t="shared" si="11"/>
        <v>0</v>
      </c>
      <c r="W9" s="20"/>
      <c r="X9" s="20"/>
      <c r="Y9" s="20"/>
      <c r="Z9" s="47">
        <f t="shared" si="12"/>
        <v>0</v>
      </c>
      <c r="AA9" s="24">
        <f t="shared" si="13"/>
        <v>66</v>
      </c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1" si="14">SUM(AM9:AO9)</f>
        <v>14</v>
      </c>
      <c r="AQ9" s="12"/>
      <c r="AR9" s="12"/>
      <c r="AS9" s="12"/>
      <c r="AT9" s="47">
        <f t="shared" ref="AT9:AT11" si="15">SUM(AQ9:AS9)</f>
        <v>0</v>
      </c>
      <c r="AU9" s="12"/>
      <c r="AV9" s="12">
        <v>8</v>
      </c>
      <c r="AW9" s="12"/>
      <c r="AX9" s="47">
        <f t="shared" ref="AX9:AX11" si="16">SUM(AU9:AW9)</f>
        <v>8</v>
      </c>
      <c r="AY9" s="12"/>
      <c r="AZ9" s="12"/>
      <c r="BA9" s="12"/>
      <c r="BB9" s="47">
        <f t="shared" ref="BB9:BB11" si="17">SUM(AY9:BA9)</f>
        <v>0</v>
      </c>
      <c r="BC9" s="12"/>
      <c r="BD9" s="12"/>
      <c r="BE9" s="12"/>
      <c r="BF9" s="47">
        <f t="shared" ref="BF9:BF11" si="18">SUM(BC9:BE9)</f>
        <v>0</v>
      </c>
      <c r="BG9" s="12"/>
      <c r="BH9" s="12"/>
      <c r="BI9" s="12"/>
      <c r="BJ9" s="47">
        <f t="shared" ref="BJ9:BJ11" si="19">SUM(BG9:BI9)</f>
        <v>0</v>
      </c>
      <c r="BK9" s="24">
        <f t="shared" ref="BK9:BK11" si="20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7"/>
        <v>12</v>
      </c>
      <c r="G10" s="12"/>
      <c r="H10" s="12">
        <v>16</v>
      </c>
      <c r="I10" s="12"/>
      <c r="J10" s="47">
        <f t="shared" si="8"/>
        <v>16</v>
      </c>
      <c r="K10" s="20"/>
      <c r="L10" s="20">
        <v>14</v>
      </c>
      <c r="M10" s="20"/>
      <c r="N10" s="47">
        <f t="shared" si="9"/>
        <v>14</v>
      </c>
      <c r="O10" s="12"/>
      <c r="P10" s="12">
        <v>8</v>
      </c>
      <c r="Q10" s="12"/>
      <c r="R10" s="47">
        <f t="shared" si="10"/>
        <v>8</v>
      </c>
      <c r="S10" s="12"/>
      <c r="T10" s="12"/>
      <c r="U10" s="12"/>
      <c r="V10" s="47">
        <f t="shared" si="11"/>
        <v>0</v>
      </c>
      <c r="W10" s="12"/>
      <c r="X10" s="12"/>
      <c r="Y10" s="12"/>
      <c r="Z10" s="47">
        <f t="shared" si="12"/>
        <v>0</v>
      </c>
      <c r="AA10" s="24">
        <f t="shared" si="13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14"/>
        <v>8</v>
      </c>
      <c r="AQ10" s="12"/>
      <c r="AR10" s="12">
        <v>10</v>
      </c>
      <c r="AS10" s="12"/>
      <c r="AT10" s="47">
        <f t="shared" si="15"/>
        <v>10</v>
      </c>
      <c r="AU10" s="12"/>
      <c r="AV10" s="12">
        <v>0</v>
      </c>
      <c r="AW10" s="12"/>
      <c r="AX10" s="47">
        <f t="shared" si="16"/>
        <v>0</v>
      </c>
      <c r="AY10" s="12"/>
      <c r="AZ10" s="12"/>
      <c r="BA10" s="12"/>
      <c r="BB10" s="47">
        <f t="shared" si="17"/>
        <v>0</v>
      </c>
      <c r="BC10" s="12"/>
      <c r="BD10" s="12"/>
      <c r="BE10" s="12"/>
      <c r="BF10" s="47">
        <f t="shared" si="18"/>
        <v>0</v>
      </c>
      <c r="BG10" s="12"/>
      <c r="BH10" s="12"/>
      <c r="BI10" s="12"/>
      <c r="BJ10" s="47">
        <f t="shared" si="19"/>
        <v>0</v>
      </c>
      <c r="BK10" s="24">
        <f t="shared" si="20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21">SUM(C11:E11)</f>
        <v>10</v>
      </c>
      <c r="G11" s="12"/>
      <c r="H11" s="12">
        <v>5</v>
      </c>
      <c r="I11" s="12"/>
      <c r="J11" s="47">
        <f t="shared" ref="J11:J14" si="22">SUM(G11:I11)</f>
        <v>5</v>
      </c>
      <c r="K11" s="12"/>
      <c r="L11" s="12">
        <v>0</v>
      </c>
      <c r="M11" s="12"/>
      <c r="N11" s="47">
        <f t="shared" ref="N11:N14" si="23">SUM(K11:M11)</f>
        <v>0</v>
      </c>
      <c r="O11" s="12"/>
      <c r="P11" s="12">
        <v>14</v>
      </c>
      <c r="Q11" s="12"/>
      <c r="R11" s="47">
        <f t="shared" ref="R11:R14" si="24">SUM(O11:Q11)</f>
        <v>14</v>
      </c>
      <c r="S11" s="12"/>
      <c r="T11" s="12"/>
      <c r="U11" s="12"/>
      <c r="V11" s="47">
        <f t="shared" ref="V11:V14" si="25">SUM(S11:U11)</f>
        <v>0</v>
      </c>
      <c r="W11" s="12"/>
      <c r="X11" s="12"/>
      <c r="Y11" s="12"/>
      <c r="Z11" s="47">
        <f t="shared" ref="Z11:Z14" si="26">SUM(W11:Y11)</f>
        <v>0</v>
      </c>
      <c r="AA11" s="24">
        <f t="shared" ref="AA11:AA14" si="27">SUM(C11:E11,G11:I11,K11:M11,O11:Q11,S11:U11,W11:Y11)</f>
        <v>29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14"/>
        <v>25</v>
      </c>
      <c r="AQ11" s="12"/>
      <c r="AR11" s="12">
        <v>16</v>
      </c>
      <c r="AS11" s="12"/>
      <c r="AT11" s="47">
        <f t="shared" si="15"/>
        <v>16</v>
      </c>
      <c r="AU11" s="12"/>
      <c r="AV11" s="12">
        <v>0</v>
      </c>
      <c r="AW11" s="12"/>
      <c r="AX11" s="47">
        <f t="shared" si="16"/>
        <v>0</v>
      </c>
      <c r="AY11" s="20"/>
      <c r="AZ11" s="20"/>
      <c r="BA11" s="20"/>
      <c r="BB11" s="47">
        <f t="shared" si="17"/>
        <v>0</v>
      </c>
      <c r="BC11" s="20"/>
      <c r="BD11" s="20"/>
      <c r="BE11" s="20"/>
      <c r="BF11" s="47">
        <f t="shared" si="18"/>
        <v>0</v>
      </c>
      <c r="BG11" s="20"/>
      <c r="BH11" s="20"/>
      <c r="BI11" s="20"/>
      <c r="BJ11" s="47">
        <f t="shared" si="19"/>
        <v>0</v>
      </c>
      <c r="BK11" s="24">
        <f t="shared" si="20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21"/>
        <v>3</v>
      </c>
      <c r="G12" s="12"/>
      <c r="H12" s="12">
        <v>20</v>
      </c>
      <c r="I12" s="12"/>
      <c r="J12" s="47">
        <f t="shared" si="22"/>
        <v>20</v>
      </c>
      <c r="K12" s="20"/>
      <c r="L12" s="20">
        <v>20</v>
      </c>
      <c r="M12" s="20"/>
      <c r="N12" s="47">
        <f t="shared" si="23"/>
        <v>20</v>
      </c>
      <c r="O12" s="12"/>
      <c r="P12" s="12">
        <v>16</v>
      </c>
      <c r="Q12" s="12"/>
      <c r="R12" s="47">
        <f t="shared" si="24"/>
        <v>16</v>
      </c>
      <c r="S12" s="12"/>
      <c r="T12" s="12"/>
      <c r="U12" s="12"/>
      <c r="V12" s="47">
        <f t="shared" si="25"/>
        <v>0</v>
      </c>
      <c r="W12" s="12"/>
      <c r="X12" s="12"/>
      <c r="Y12" s="12"/>
      <c r="Z12" s="47">
        <f t="shared" si="26"/>
        <v>0</v>
      </c>
      <c r="AA12" s="24">
        <f t="shared" si="27"/>
        <v>59</v>
      </c>
      <c r="AF12">
        <v>9</v>
      </c>
      <c r="AG12">
        <v>6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21"/>
        <v>4</v>
      </c>
      <c r="G13" s="12"/>
      <c r="H13" s="12">
        <v>6</v>
      </c>
      <c r="I13" s="12"/>
      <c r="J13" s="47">
        <f t="shared" si="22"/>
        <v>6</v>
      </c>
      <c r="K13" s="12"/>
      <c r="L13" s="12"/>
      <c r="M13" s="12"/>
      <c r="N13" s="47">
        <f t="shared" si="23"/>
        <v>0</v>
      </c>
      <c r="O13" s="12"/>
      <c r="P13" s="12">
        <v>4</v>
      </c>
      <c r="Q13" s="12"/>
      <c r="R13" s="47">
        <f t="shared" si="24"/>
        <v>4</v>
      </c>
      <c r="S13" s="12"/>
      <c r="T13" s="12"/>
      <c r="U13" s="12"/>
      <c r="V13" s="47">
        <f t="shared" si="25"/>
        <v>0</v>
      </c>
      <c r="W13" s="12"/>
      <c r="X13" s="12"/>
      <c r="Y13" s="12"/>
      <c r="Z13" s="47">
        <f t="shared" si="26"/>
        <v>0</v>
      </c>
      <c r="AA13" s="24">
        <f t="shared" si="27"/>
        <v>14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21"/>
        <v>16</v>
      </c>
      <c r="G14" s="12"/>
      <c r="H14" s="12"/>
      <c r="I14" s="12"/>
      <c r="J14" s="47">
        <f t="shared" si="22"/>
        <v>0</v>
      </c>
      <c r="K14" s="20"/>
      <c r="L14" s="20"/>
      <c r="M14" s="20"/>
      <c r="N14" s="47">
        <f t="shared" si="23"/>
        <v>0</v>
      </c>
      <c r="O14" s="12"/>
      <c r="P14" s="12"/>
      <c r="Q14" s="12"/>
      <c r="R14" s="47">
        <f t="shared" si="24"/>
        <v>0</v>
      </c>
      <c r="S14" s="12"/>
      <c r="T14" s="12"/>
      <c r="U14" s="12"/>
      <c r="V14" s="47">
        <f t="shared" si="25"/>
        <v>0</v>
      </c>
      <c r="W14" s="12"/>
      <c r="X14" s="12"/>
      <c r="Y14" s="12"/>
      <c r="Z14" s="47">
        <f t="shared" si="26"/>
        <v>0</v>
      </c>
      <c r="AA14" s="24">
        <f t="shared" si="27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7"/>
        <v>27</v>
      </c>
      <c r="G15" s="12">
        <v>1</v>
      </c>
      <c r="H15" s="12">
        <v>25</v>
      </c>
      <c r="I15" s="12">
        <v>1</v>
      </c>
      <c r="J15" s="47">
        <f t="shared" si="8"/>
        <v>27</v>
      </c>
      <c r="K15" s="12">
        <v>1</v>
      </c>
      <c r="L15" s="12">
        <v>25</v>
      </c>
      <c r="M15" s="12">
        <v>1</v>
      </c>
      <c r="N15" s="47">
        <f t="shared" si="9"/>
        <v>27</v>
      </c>
      <c r="O15" s="20">
        <v>1</v>
      </c>
      <c r="P15" s="20">
        <v>20</v>
      </c>
      <c r="Q15" s="20"/>
      <c r="R15" s="47">
        <f t="shared" si="10"/>
        <v>21</v>
      </c>
      <c r="S15" s="20"/>
      <c r="T15" s="20"/>
      <c r="U15" s="20"/>
      <c r="V15" s="47">
        <f t="shared" si="11"/>
        <v>0</v>
      </c>
      <c r="W15" s="20"/>
      <c r="X15" s="20"/>
      <c r="Y15" s="20"/>
      <c r="Z15" s="47">
        <f t="shared" si="12"/>
        <v>0</v>
      </c>
      <c r="AA15" s="24">
        <f t="shared" si="13"/>
        <v>102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31</v>
      </c>
      <c r="C16" s="20"/>
      <c r="D16" s="20">
        <v>20</v>
      </c>
      <c r="E16" s="20"/>
      <c r="F16" s="47">
        <f t="shared" si="7"/>
        <v>20</v>
      </c>
      <c r="G16" s="12"/>
      <c r="H16" s="12">
        <v>10</v>
      </c>
      <c r="I16" s="12"/>
      <c r="J16" s="47">
        <f t="shared" si="8"/>
        <v>10</v>
      </c>
      <c r="K16" s="20"/>
      <c r="L16" s="20">
        <v>18</v>
      </c>
      <c r="M16" s="20"/>
      <c r="N16" s="47">
        <f t="shared" si="9"/>
        <v>18</v>
      </c>
      <c r="O16" s="20"/>
      <c r="P16" s="20">
        <v>18</v>
      </c>
      <c r="Q16" s="20"/>
      <c r="R16" s="47">
        <f t="shared" si="10"/>
        <v>18</v>
      </c>
      <c r="S16" s="20"/>
      <c r="T16" s="20"/>
      <c r="U16" s="20"/>
      <c r="V16" s="47">
        <f t="shared" si="11"/>
        <v>0</v>
      </c>
      <c r="W16" s="12"/>
      <c r="X16" s="12"/>
      <c r="Y16" s="12"/>
      <c r="Z16" s="47">
        <f t="shared" si="12"/>
        <v>0</v>
      </c>
      <c r="AA16" s="24">
        <f t="shared" si="13"/>
        <v>66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7"/>
        <v>6</v>
      </c>
      <c r="G17" s="20"/>
      <c r="H17" s="20">
        <v>12</v>
      </c>
      <c r="I17" s="20"/>
      <c r="J17" s="47">
        <f t="shared" si="8"/>
        <v>12</v>
      </c>
      <c r="K17" s="20"/>
      <c r="L17" s="20">
        <v>16</v>
      </c>
      <c r="M17" s="20"/>
      <c r="N17" s="47">
        <f t="shared" si="9"/>
        <v>16</v>
      </c>
      <c r="O17" s="12"/>
      <c r="P17" s="12">
        <v>5</v>
      </c>
      <c r="Q17" s="12"/>
      <c r="R17" s="47">
        <f t="shared" si="10"/>
        <v>5</v>
      </c>
      <c r="S17" s="20"/>
      <c r="T17" s="20"/>
      <c r="U17" s="20"/>
      <c r="V17" s="47">
        <f t="shared" si="11"/>
        <v>0</v>
      </c>
      <c r="W17" s="12"/>
      <c r="X17" s="12"/>
      <c r="Y17" s="12"/>
      <c r="Z17" s="47">
        <f t="shared" si="12"/>
        <v>0</v>
      </c>
      <c r="AA17" s="24">
        <f t="shared" si="13"/>
        <v>39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7"/>
        <v>8</v>
      </c>
      <c r="G18" s="20"/>
      <c r="H18" s="20">
        <v>8</v>
      </c>
      <c r="I18" s="20"/>
      <c r="J18" s="47">
        <f t="shared" si="8"/>
        <v>8</v>
      </c>
      <c r="K18" s="20"/>
      <c r="L18" s="20">
        <v>5</v>
      </c>
      <c r="M18" s="20"/>
      <c r="N18" s="47">
        <f t="shared" si="9"/>
        <v>5</v>
      </c>
      <c r="O18" s="12"/>
      <c r="P18" s="12"/>
      <c r="Q18" s="12"/>
      <c r="R18" s="47">
        <f t="shared" si="10"/>
        <v>0</v>
      </c>
      <c r="S18" s="20"/>
      <c r="T18" s="20"/>
      <c r="U18" s="20"/>
      <c r="V18" s="47">
        <f t="shared" si="11"/>
        <v>0</v>
      </c>
      <c r="W18" s="12"/>
      <c r="X18" s="12"/>
      <c r="Y18" s="12"/>
      <c r="Z18" s="47">
        <f t="shared" si="12"/>
        <v>0</v>
      </c>
      <c r="AA18" s="24">
        <f t="shared" si="13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42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8">SUM(C21:E21)</f>
        <v>2</v>
      </c>
      <c r="G21" s="12"/>
      <c r="H21" s="12">
        <v>3</v>
      </c>
      <c r="I21" s="12"/>
      <c r="J21" s="47">
        <f t="shared" ref="J21:J33" si="29">SUM(G21:I21)</f>
        <v>3</v>
      </c>
      <c r="K21" s="12"/>
      <c r="L21" s="12">
        <v>6</v>
      </c>
      <c r="M21" s="12"/>
      <c r="N21" s="47">
        <f t="shared" ref="N21:N33" si="30">SUM(K21:M21)</f>
        <v>6</v>
      </c>
      <c r="O21" s="12"/>
      <c r="P21" s="12">
        <v>4</v>
      </c>
      <c r="Q21" s="12"/>
      <c r="R21" s="47">
        <f t="shared" ref="R21:R33" si="31">SUM(O21:Q21)</f>
        <v>4</v>
      </c>
      <c r="S21" s="12"/>
      <c r="T21" s="12"/>
      <c r="U21" s="12"/>
      <c r="V21" s="47">
        <f t="shared" ref="V21:V33" si="32">SUM(S21:U21)</f>
        <v>0</v>
      </c>
      <c r="W21" s="12"/>
      <c r="X21" s="12"/>
      <c r="Y21" s="12"/>
      <c r="Z21" s="47">
        <f t="shared" ref="Z21:Z33" si="33">SUM(W21:Y21)</f>
        <v>0</v>
      </c>
      <c r="AA21" s="24">
        <f t="shared" ref="AA21:AA33" si="34">SUM(C21:E21,G21:I21,K21:M21,O21:Q21,S21:U21,W21:Y21)</f>
        <v>15</v>
      </c>
      <c r="AD21" s="59"/>
      <c r="AE21" s="20"/>
      <c r="AF21" s="20"/>
      <c r="AG21" s="20"/>
      <c r="AH21" s="47"/>
      <c r="AI21" s="20"/>
      <c r="AJ21" s="20"/>
      <c r="AK21" s="20"/>
      <c r="AL21" s="47"/>
      <c r="AM21" s="20"/>
      <c r="AN21" s="20"/>
      <c r="AO21" s="20"/>
      <c r="AP21" s="47"/>
      <c r="AQ21" s="12"/>
      <c r="AR21" s="12"/>
      <c r="AS21" s="12"/>
      <c r="AT21" s="47"/>
      <c r="AU21" s="20"/>
      <c r="AV21" s="20"/>
      <c r="AW21" s="20"/>
      <c r="AX21" s="47"/>
      <c r="AY21" s="12"/>
      <c r="AZ21" s="12"/>
      <c r="BA21" s="12"/>
      <c r="BB21" s="47"/>
      <c r="BC21" s="24"/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8"/>
        <v>3</v>
      </c>
      <c r="G22" s="12"/>
      <c r="H22" s="12">
        <v>2</v>
      </c>
      <c r="I22" s="12"/>
      <c r="J22" s="47">
        <f t="shared" si="29"/>
        <v>2</v>
      </c>
      <c r="K22" s="12"/>
      <c r="L22" s="12">
        <v>5</v>
      </c>
      <c r="M22" s="12"/>
      <c r="N22" s="47">
        <f t="shared" si="30"/>
        <v>5</v>
      </c>
      <c r="O22" s="12"/>
      <c r="P22" s="12">
        <v>5</v>
      </c>
      <c r="Q22" s="12"/>
      <c r="R22" s="47">
        <f t="shared" si="31"/>
        <v>5</v>
      </c>
      <c r="S22" s="12"/>
      <c r="T22" s="12"/>
      <c r="U22" s="12"/>
      <c r="V22" s="47">
        <f t="shared" si="32"/>
        <v>0</v>
      </c>
      <c r="W22" s="12"/>
      <c r="X22" s="12"/>
      <c r="Y22" s="12"/>
      <c r="Z22" s="47">
        <f t="shared" si="33"/>
        <v>0</v>
      </c>
      <c r="AA22" s="24">
        <f t="shared" si="34"/>
        <v>15</v>
      </c>
    </row>
    <row r="23" spans="1:16358" ht="19" customHeight="1" x14ac:dyDescent="0.25">
      <c r="A23" s="5" t="s">
        <v>5</v>
      </c>
      <c r="B23" s="59" t="s">
        <v>85</v>
      </c>
      <c r="C23" s="12">
        <v>1</v>
      </c>
      <c r="D23" s="12">
        <v>20</v>
      </c>
      <c r="E23" s="12"/>
      <c r="F23" s="47">
        <f t="shared" si="28"/>
        <v>21</v>
      </c>
      <c r="G23" s="12">
        <v>1</v>
      </c>
      <c r="H23" s="12">
        <v>25</v>
      </c>
      <c r="I23" s="12">
        <v>1</v>
      </c>
      <c r="J23" s="47">
        <f t="shared" si="29"/>
        <v>27</v>
      </c>
      <c r="K23" s="12">
        <v>1</v>
      </c>
      <c r="L23" s="12">
        <v>25</v>
      </c>
      <c r="M23" s="12"/>
      <c r="N23" s="47">
        <f t="shared" si="30"/>
        <v>26</v>
      </c>
      <c r="O23" s="12"/>
      <c r="P23" s="12">
        <v>20</v>
      </c>
      <c r="Q23" s="12">
        <v>1</v>
      </c>
      <c r="R23" s="47">
        <f t="shared" si="31"/>
        <v>21</v>
      </c>
      <c r="S23" s="12"/>
      <c r="T23" s="12"/>
      <c r="U23" s="12"/>
      <c r="V23" s="47">
        <f t="shared" si="32"/>
        <v>0</v>
      </c>
      <c r="W23" s="12"/>
      <c r="X23" s="12"/>
      <c r="Y23" s="12"/>
      <c r="Z23" s="47">
        <f t="shared" si="33"/>
        <v>0</v>
      </c>
      <c r="AA23" s="24">
        <f t="shared" si="34"/>
        <v>95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8"/>
        <v>20</v>
      </c>
      <c r="G24" s="12"/>
      <c r="H24" s="12">
        <v>16</v>
      </c>
      <c r="I24" s="12"/>
      <c r="J24" s="47">
        <f t="shared" si="29"/>
        <v>16</v>
      </c>
      <c r="K24" s="12"/>
      <c r="L24" s="12"/>
      <c r="M24" s="12"/>
      <c r="N24" s="47">
        <f t="shared" si="30"/>
        <v>0</v>
      </c>
      <c r="O24" s="12"/>
      <c r="P24" s="12"/>
      <c r="Q24" s="12"/>
      <c r="R24" s="47">
        <f t="shared" si="31"/>
        <v>0</v>
      </c>
      <c r="S24" s="12"/>
      <c r="T24" s="12"/>
      <c r="U24" s="12"/>
      <c r="V24" s="47">
        <f t="shared" si="32"/>
        <v>0</v>
      </c>
      <c r="W24" s="12"/>
      <c r="X24" s="12"/>
      <c r="Y24" s="12"/>
      <c r="Z24" s="47">
        <f t="shared" si="33"/>
        <v>0</v>
      </c>
      <c r="AA24" s="24">
        <f t="shared" si="34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8"/>
        <v>13</v>
      </c>
      <c r="G25" s="12"/>
      <c r="H25" s="12">
        <v>12</v>
      </c>
      <c r="I25" s="12"/>
      <c r="J25" s="47">
        <f t="shared" si="29"/>
        <v>12</v>
      </c>
      <c r="K25" s="20"/>
      <c r="L25" s="20">
        <v>12</v>
      </c>
      <c r="M25" s="20"/>
      <c r="N25" s="47">
        <f t="shared" si="30"/>
        <v>12</v>
      </c>
      <c r="O25" s="12"/>
      <c r="P25" s="12">
        <v>18</v>
      </c>
      <c r="Q25" s="12"/>
      <c r="R25" s="47">
        <f t="shared" si="31"/>
        <v>18</v>
      </c>
      <c r="S25" s="12"/>
      <c r="T25" s="12"/>
      <c r="U25" s="12"/>
      <c r="V25" s="47">
        <f t="shared" si="32"/>
        <v>0</v>
      </c>
      <c r="W25" s="12"/>
      <c r="X25" s="12"/>
      <c r="Y25" s="12"/>
      <c r="Z25" s="47">
        <f t="shared" si="33"/>
        <v>0</v>
      </c>
      <c r="AA25" s="24">
        <f t="shared" si="34"/>
        <v>55</v>
      </c>
    </row>
    <row r="26" spans="1:16358" ht="19" customHeight="1" x14ac:dyDescent="0.25">
      <c r="A26" s="5" t="s">
        <v>8</v>
      </c>
      <c r="B26" s="59"/>
      <c r="C26" s="12"/>
      <c r="D26" s="12"/>
      <c r="E26" s="12"/>
      <c r="F26" s="47"/>
      <c r="G26" s="12"/>
      <c r="H26" s="12"/>
      <c r="I26" s="12"/>
      <c r="J26" s="47"/>
      <c r="K26" s="12"/>
      <c r="L26" s="12"/>
      <c r="M26" s="12"/>
      <c r="N26" s="47"/>
      <c r="O26" s="12"/>
      <c r="P26" s="12"/>
      <c r="Q26" s="12"/>
      <c r="R26" s="47"/>
      <c r="S26" s="12"/>
      <c r="T26" s="12"/>
      <c r="U26" s="12"/>
      <c r="V26" s="47"/>
      <c r="W26" s="12"/>
      <c r="X26" s="12"/>
      <c r="Y26" s="12"/>
      <c r="Z26" s="47"/>
      <c r="AA26" s="24"/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8"/>
        <v>5</v>
      </c>
      <c r="G27" s="12"/>
      <c r="H27" s="12">
        <v>8</v>
      </c>
      <c r="I27" s="12"/>
      <c r="J27" s="47">
        <f t="shared" si="29"/>
        <v>8</v>
      </c>
      <c r="K27" s="20"/>
      <c r="L27" s="20">
        <v>8</v>
      </c>
      <c r="M27" s="20"/>
      <c r="N27" s="47">
        <f t="shared" si="30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/>
      <c r="U27" s="12"/>
      <c r="V27" s="47">
        <f t="shared" ref="V27" si="36">SUM(S27:U27)</f>
        <v>0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31</v>
      </c>
    </row>
    <row r="28" spans="1:16358" ht="19" customHeight="1" x14ac:dyDescent="0.25">
      <c r="A28" s="5" t="s">
        <v>10</v>
      </c>
      <c r="B28" s="59" t="s">
        <v>89</v>
      </c>
      <c r="C28" s="20"/>
      <c r="D28" s="20">
        <v>6</v>
      </c>
      <c r="E28" s="20"/>
      <c r="F28" s="47">
        <f t="shared" si="28"/>
        <v>6</v>
      </c>
      <c r="G28" s="12"/>
      <c r="H28" s="12">
        <v>5</v>
      </c>
      <c r="I28" s="12"/>
      <c r="J28" s="47">
        <f t="shared" si="29"/>
        <v>5</v>
      </c>
      <c r="K28" s="12"/>
      <c r="L28" s="12">
        <v>0</v>
      </c>
      <c r="M28" s="12"/>
      <c r="N28" s="47">
        <f t="shared" si="30"/>
        <v>0</v>
      </c>
      <c r="O28" s="12"/>
      <c r="P28" s="12"/>
      <c r="Q28" s="12"/>
      <c r="R28" s="47">
        <f t="shared" si="31"/>
        <v>0</v>
      </c>
      <c r="S28" s="12"/>
      <c r="T28" s="12"/>
      <c r="U28" s="12"/>
      <c r="V28" s="47">
        <f t="shared" si="32"/>
        <v>0</v>
      </c>
      <c r="W28" s="12"/>
      <c r="X28" s="12"/>
      <c r="Y28" s="12"/>
      <c r="Z28" s="47">
        <f t="shared" si="33"/>
        <v>0</v>
      </c>
      <c r="AA28" s="24">
        <f t="shared" si="34"/>
        <v>11</v>
      </c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8"/>
        <v>19</v>
      </c>
      <c r="G29" s="12"/>
      <c r="H29" s="12">
        <v>20</v>
      </c>
      <c r="I29" s="12">
        <v>1</v>
      </c>
      <c r="J29" s="47">
        <f t="shared" si="29"/>
        <v>21</v>
      </c>
      <c r="K29" s="12">
        <v>1</v>
      </c>
      <c r="L29" s="12">
        <v>25</v>
      </c>
      <c r="M29" s="12">
        <v>1</v>
      </c>
      <c r="N29" s="47">
        <f t="shared" si="30"/>
        <v>27</v>
      </c>
      <c r="O29" s="12">
        <v>1</v>
      </c>
      <c r="P29" s="12">
        <v>12</v>
      </c>
      <c r="Q29" s="12"/>
      <c r="R29" s="47">
        <f t="shared" si="31"/>
        <v>13</v>
      </c>
      <c r="S29" s="12"/>
      <c r="T29" s="12"/>
      <c r="U29" s="12"/>
      <c r="V29" s="47">
        <f t="shared" si="32"/>
        <v>0</v>
      </c>
      <c r="W29" s="12"/>
      <c r="X29" s="12"/>
      <c r="Y29" s="12"/>
      <c r="Z29" s="47">
        <f t="shared" si="33"/>
        <v>0</v>
      </c>
      <c r="AA29" s="24">
        <f t="shared" si="34"/>
        <v>80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8"/>
        <v>14</v>
      </c>
      <c r="G30" s="12">
        <v>1</v>
      </c>
      <c r="H30" s="12">
        <v>18</v>
      </c>
      <c r="I30" s="12"/>
      <c r="J30" s="47">
        <f t="shared" si="29"/>
        <v>19</v>
      </c>
      <c r="K30" s="12"/>
      <c r="L30" s="12">
        <v>16</v>
      </c>
      <c r="M30" s="12"/>
      <c r="N30" s="47">
        <f t="shared" si="30"/>
        <v>16</v>
      </c>
      <c r="O30" s="20"/>
      <c r="P30" s="20">
        <v>16</v>
      </c>
      <c r="Q30" s="20"/>
      <c r="R30" s="47">
        <f t="shared" si="31"/>
        <v>16</v>
      </c>
      <c r="S30" s="20"/>
      <c r="T30" s="20"/>
      <c r="U30" s="20"/>
      <c r="V30" s="47">
        <f t="shared" si="32"/>
        <v>0</v>
      </c>
      <c r="W30" s="20"/>
      <c r="X30" s="20"/>
      <c r="Y30" s="20"/>
      <c r="Z30" s="47">
        <f t="shared" si="33"/>
        <v>0</v>
      </c>
      <c r="AA30" s="24">
        <f t="shared" si="34"/>
        <v>65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8"/>
        <v>26</v>
      </c>
      <c r="G31" s="12"/>
      <c r="H31" s="12">
        <v>25</v>
      </c>
      <c r="I31" s="12"/>
      <c r="J31" s="47">
        <f t="shared" si="29"/>
        <v>25</v>
      </c>
      <c r="K31" s="20"/>
      <c r="L31" s="20">
        <v>20</v>
      </c>
      <c r="M31" s="20"/>
      <c r="N31" s="47">
        <f t="shared" si="30"/>
        <v>20</v>
      </c>
      <c r="O31" s="20"/>
      <c r="P31" s="20">
        <v>25</v>
      </c>
      <c r="Q31" s="20"/>
      <c r="R31" s="47">
        <f t="shared" si="31"/>
        <v>25</v>
      </c>
      <c r="S31" s="20"/>
      <c r="T31" s="20"/>
      <c r="U31" s="20"/>
      <c r="V31" s="47">
        <f t="shared" si="32"/>
        <v>0</v>
      </c>
      <c r="W31" s="12"/>
      <c r="X31" s="12"/>
      <c r="Y31" s="12"/>
      <c r="Z31" s="47">
        <f t="shared" si="33"/>
        <v>0</v>
      </c>
      <c r="AA31" s="24">
        <f t="shared" si="34"/>
        <v>96</v>
      </c>
      <c r="AI31" s="59" t="s">
        <v>69</v>
      </c>
    </row>
    <row r="32" spans="1:16358" ht="19" customHeight="1" x14ac:dyDescent="0.25">
      <c r="A32" s="5" t="s">
        <v>20</v>
      </c>
      <c r="B32" s="59" t="s">
        <v>53</v>
      </c>
      <c r="C32" s="12"/>
      <c r="D32" s="12">
        <v>18</v>
      </c>
      <c r="E32" s="12"/>
      <c r="F32" s="47">
        <f t="shared" si="28"/>
        <v>18</v>
      </c>
      <c r="G32" s="12"/>
      <c r="H32" s="12">
        <v>14</v>
      </c>
      <c r="I32" s="12"/>
      <c r="J32" s="47">
        <f t="shared" si="29"/>
        <v>14</v>
      </c>
      <c r="K32" s="12"/>
      <c r="L32" s="12">
        <v>10</v>
      </c>
      <c r="M32" s="12"/>
      <c r="N32" s="47">
        <f t="shared" si="30"/>
        <v>10</v>
      </c>
      <c r="O32" s="49"/>
      <c r="P32" s="20">
        <v>14</v>
      </c>
      <c r="Q32" s="20"/>
      <c r="R32" s="47">
        <f t="shared" si="31"/>
        <v>14</v>
      </c>
      <c r="S32" s="12"/>
      <c r="T32" s="12"/>
      <c r="U32" s="12"/>
      <c r="V32" s="47">
        <f t="shared" si="32"/>
        <v>0</v>
      </c>
      <c r="W32" s="12"/>
      <c r="X32" s="12"/>
      <c r="Y32" s="12"/>
      <c r="Z32" s="47">
        <f t="shared" si="33"/>
        <v>0</v>
      </c>
      <c r="AA32" s="24">
        <f t="shared" si="34"/>
        <v>56</v>
      </c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8"/>
        <v>4</v>
      </c>
      <c r="G33" s="20"/>
      <c r="H33" s="20">
        <v>4</v>
      </c>
      <c r="I33" s="20"/>
      <c r="J33" s="47">
        <f t="shared" si="29"/>
        <v>4</v>
      </c>
      <c r="K33" s="20"/>
      <c r="L33" s="20">
        <v>10</v>
      </c>
      <c r="M33" s="20"/>
      <c r="N33" s="47">
        <f t="shared" si="30"/>
        <v>10</v>
      </c>
      <c r="O33" s="12"/>
      <c r="P33" s="12">
        <v>3</v>
      </c>
      <c r="Q33" s="12"/>
      <c r="R33" s="47">
        <f t="shared" si="31"/>
        <v>3</v>
      </c>
      <c r="S33" s="20"/>
      <c r="T33" s="20"/>
      <c r="U33" s="20"/>
      <c r="V33" s="47">
        <f t="shared" si="32"/>
        <v>0</v>
      </c>
      <c r="W33" s="12"/>
      <c r="X33" s="12"/>
      <c r="Y33" s="12"/>
      <c r="Z33" s="47">
        <f t="shared" si="33"/>
        <v>0</v>
      </c>
      <c r="AA33" s="24">
        <f t="shared" si="34"/>
        <v>21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67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39" si="45">SUM(C36:E36,G36:I36,K36:M36,O36:Q36,S36:U36,W36:Y36)</f>
        <v>24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17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19</v>
      </c>
    </row>
    <row r="40" spans="1:35" ht="19" customHeight="1" x14ac:dyDescent="0.25">
      <c r="A40" s="28" t="s">
        <v>7</v>
      </c>
      <c r="B40" s="59"/>
      <c r="C40" s="12"/>
      <c r="D40" s="12"/>
      <c r="E40" s="12"/>
      <c r="F40" s="47"/>
      <c r="G40" s="12"/>
      <c r="H40" s="12"/>
      <c r="I40" s="12"/>
      <c r="J40" s="47"/>
      <c r="K40" s="20"/>
      <c r="L40" s="20"/>
      <c r="M40" s="20"/>
      <c r="N40" s="47"/>
      <c r="O40" s="12"/>
      <c r="P40" s="12"/>
      <c r="Q40" s="12"/>
      <c r="R40" s="47"/>
      <c r="S40" s="12"/>
      <c r="T40" s="12"/>
      <c r="U40" s="12"/>
      <c r="V40" s="47"/>
      <c r="W40" s="12"/>
      <c r="X40" s="12"/>
      <c r="Y40" s="12"/>
      <c r="Z40" s="47"/>
      <c r="AA40" s="24"/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58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28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19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107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/>
      <c r="C45" s="49"/>
      <c r="D45" s="20"/>
      <c r="E45" s="20"/>
      <c r="F45" s="47"/>
      <c r="G45" s="12"/>
      <c r="H45" s="12"/>
      <c r="I45" s="12"/>
      <c r="J45" s="47"/>
      <c r="K45" s="12"/>
      <c r="L45" s="12"/>
      <c r="M45" s="12"/>
      <c r="N45" s="47"/>
      <c r="O45" s="20"/>
      <c r="P45" s="20"/>
      <c r="Q45" s="20"/>
      <c r="R45" s="47"/>
      <c r="S45" s="20"/>
      <c r="T45" s="20"/>
      <c r="U45" s="20"/>
      <c r="V45" s="47"/>
      <c r="W45" s="20"/>
      <c r="X45" s="20"/>
      <c r="Y45" s="20"/>
      <c r="Z45" s="47"/>
      <c r="AA45" s="24"/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66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74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>
        <v>4</v>
      </c>
      <c r="Q51" s="12"/>
      <c r="R51" s="47">
        <f t="shared" ref="R51:R55" si="57">SUM(O51:Q51)</f>
        <v>4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54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93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50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14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/>
      <c r="C56" s="12"/>
      <c r="D56" s="12"/>
      <c r="E56" s="12"/>
      <c r="F56" s="47"/>
      <c r="G56" s="12"/>
      <c r="H56" s="12"/>
      <c r="I56" s="12"/>
      <c r="J56" s="47"/>
      <c r="K56" s="12"/>
      <c r="L56" s="12"/>
      <c r="M56" s="12"/>
      <c r="N56" s="47"/>
      <c r="O56" s="12"/>
      <c r="P56" s="12"/>
      <c r="Q56" s="12"/>
      <c r="R56" s="47"/>
      <c r="S56" s="12"/>
      <c r="T56" s="12"/>
      <c r="U56" s="12"/>
      <c r="V56" s="47"/>
      <c r="W56" s="12"/>
      <c r="X56" s="12"/>
      <c r="Y56" s="12"/>
      <c r="Z56" s="47"/>
      <c r="AA56" s="24"/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59" si="61">SUM(C57:E57)</f>
        <v>4</v>
      </c>
      <c r="G57" s="12"/>
      <c r="H57" s="12">
        <v>2</v>
      </c>
      <c r="I57" s="12"/>
      <c r="J57" s="47">
        <f t="shared" ref="J57:J59" si="62">SUM(G57:I57)</f>
        <v>2</v>
      </c>
      <c r="K57" s="20"/>
      <c r="L57" s="20">
        <v>5</v>
      </c>
      <c r="M57" s="20"/>
      <c r="N57" s="47">
        <f t="shared" ref="N57:N59" si="63">SUM(K57:M57)</f>
        <v>5</v>
      </c>
      <c r="O57" s="12"/>
      <c r="P57" s="12">
        <v>5</v>
      </c>
      <c r="Q57" s="12"/>
      <c r="R57" s="47">
        <f t="shared" ref="R57:R59" si="64">SUM(O57:Q57)</f>
        <v>5</v>
      </c>
      <c r="S57" s="12"/>
      <c r="T57" s="12"/>
      <c r="U57" s="12"/>
      <c r="V57" s="47">
        <f t="shared" ref="V57:V59" si="65">SUM(S57:U57)</f>
        <v>0</v>
      </c>
      <c r="W57" s="12"/>
      <c r="X57" s="12"/>
      <c r="Y57" s="12"/>
      <c r="Z57" s="47">
        <f t="shared" ref="Z57:Z59" si="66">SUM(W57:Y57)</f>
        <v>0</v>
      </c>
      <c r="AA57" s="24">
        <f t="shared" ref="AA57:AA59" si="67">SUM(C57:E57,G57:I57,K57:M57,O57:Q57,S57:U57,W57:Y57)</f>
        <v>16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64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38</v>
      </c>
    </row>
    <row r="60" spans="1:36" ht="19" customHeight="1" x14ac:dyDescent="0.25">
      <c r="A60" s="5" t="s">
        <v>12</v>
      </c>
      <c r="B60" s="59"/>
      <c r="C60" s="49"/>
      <c r="D60" s="20"/>
      <c r="E60" s="20"/>
      <c r="F60" s="47"/>
      <c r="G60" s="12"/>
      <c r="H60" s="12"/>
      <c r="I60" s="12"/>
      <c r="J60" s="47"/>
      <c r="K60" s="12"/>
      <c r="L60" s="12"/>
      <c r="M60" s="12"/>
      <c r="N60" s="47"/>
      <c r="O60" s="20"/>
      <c r="P60" s="20"/>
      <c r="Q60" s="20"/>
      <c r="R60" s="47"/>
      <c r="S60" s="20"/>
      <c r="T60" s="20"/>
      <c r="U60" s="20"/>
      <c r="V60" s="47"/>
      <c r="W60" s="20"/>
      <c r="X60" s="20"/>
      <c r="Y60" s="20"/>
      <c r="Z60" s="47"/>
      <c r="AA60" s="24"/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46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8" x14ac:dyDescent="0.25">
      <c r="A69" s="28">
        <v>2</v>
      </c>
      <c r="B69" s="59" t="str">
        <f t="shared" ref="B69" si="76">B6</f>
        <v>CORNAZZAI73</v>
      </c>
      <c r="C69" s="12">
        <f t="shared" ref="C69:AA69" si="77">C6</f>
        <v>0</v>
      </c>
      <c r="D69" s="12">
        <f t="shared" si="77"/>
        <v>16</v>
      </c>
      <c r="E69" s="12">
        <f t="shared" si="77"/>
        <v>0</v>
      </c>
      <c r="F69" s="47">
        <f t="shared" si="77"/>
        <v>16</v>
      </c>
      <c r="G69" s="12">
        <f t="shared" si="77"/>
        <v>0</v>
      </c>
      <c r="H69" s="12">
        <f t="shared" si="77"/>
        <v>14</v>
      </c>
      <c r="I69" s="12">
        <f t="shared" si="77"/>
        <v>0</v>
      </c>
      <c r="J69" s="47">
        <f t="shared" si="77"/>
        <v>14</v>
      </c>
      <c r="K69" s="12">
        <f t="shared" si="77"/>
        <v>0</v>
      </c>
      <c r="L69" s="12">
        <f t="shared" si="77"/>
        <v>14</v>
      </c>
      <c r="M69" s="12">
        <f t="shared" si="77"/>
        <v>0</v>
      </c>
      <c r="N69" s="47">
        <f t="shared" si="77"/>
        <v>14</v>
      </c>
      <c r="O69" s="12">
        <f t="shared" si="77"/>
        <v>0</v>
      </c>
      <c r="P69" s="12">
        <f t="shared" si="77"/>
        <v>6</v>
      </c>
      <c r="Q69" s="12">
        <f t="shared" si="77"/>
        <v>0</v>
      </c>
      <c r="R69" s="47">
        <f t="shared" si="77"/>
        <v>6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50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0</v>
      </c>
      <c r="U70" s="12">
        <f t="shared" si="79"/>
        <v>0</v>
      </c>
      <c r="V70" s="47">
        <f t="shared" si="79"/>
        <v>0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42</v>
      </c>
    </row>
    <row r="71" spans="1:27" ht="18" x14ac:dyDescent="0.25">
      <c r="A71" s="28">
        <v>4</v>
      </c>
      <c r="B71" s="59" t="str">
        <f t="shared" ref="B71" si="80">B8</f>
        <v>TheGuarny</v>
      </c>
      <c r="C71" s="12">
        <f t="shared" ref="C71:AA71" si="81">C8</f>
        <v>0</v>
      </c>
      <c r="D71" s="12">
        <f t="shared" si="81"/>
        <v>20</v>
      </c>
      <c r="E71" s="12">
        <f t="shared" si="81"/>
        <v>0</v>
      </c>
      <c r="F71" s="47">
        <f t="shared" si="81"/>
        <v>20</v>
      </c>
      <c r="G71" s="12">
        <f t="shared" si="81"/>
        <v>0</v>
      </c>
      <c r="H71" s="12">
        <f t="shared" si="81"/>
        <v>14</v>
      </c>
      <c r="I71" s="12">
        <f t="shared" si="81"/>
        <v>0</v>
      </c>
      <c r="J71" s="47">
        <f t="shared" si="81"/>
        <v>14</v>
      </c>
      <c r="K71" s="12">
        <f t="shared" si="81"/>
        <v>0</v>
      </c>
      <c r="L71" s="12">
        <f t="shared" si="81"/>
        <v>14</v>
      </c>
      <c r="M71" s="12">
        <f t="shared" si="81"/>
        <v>0</v>
      </c>
      <c r="N71" s="47">
        <f t="shared" si="81"/>
        <v>14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48</v>
      </c>
    </row>
    <row r="72" spans="1:27" ht="18" x14ac:dyDescent="0.25">
      <c r="A72" s="28">
        <v>5</v>
      </c>
      <c r="B72" s="59" t="str">
        <f t="shared" ref="B72:B81" si="82">B9</f>
        <v>andvea_99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20</v>
      </c>
      <c r="I72" s="12">
        <f t="shared" si="83"/>
        <v>0</v>
      </c>
      <c r="J72" s="47">
        <f t="shared" si="83"/>
        <v>20</v>
      </c>
      <c r="K72" s="12">
        <f t="shared" si="83"/>
        <v>0</v>
      </c>
      <c r="L72" s="12">
        <f t="shared" si="83"/>
        <v>20</v>
      </c>
      <c r="M72" s="12">
        <f t="shared" si="83"/>
        <v>0</v>
      </c>
      <c r="N72" s="47">
        <f t="shared" si="83"/>
        <v>20</v>
      </c>
      <c r="O72" s="12">
        <f t="shared" si="83"/>
        <v>0</v>
      </c>
      <c r="P72" s="12">
        <f t="shared" si="83"/>
        <v>25</v>
      </c>
      <c r="Q72" s="12">
        <f t="shared" si="83"/>
        <v>1</v>
      </c>
      <c r="R72" s="47">
        <f t="shared" si="83"/>
        <v>26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66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0</v>
      </c>
      <c r="U74" s="12">
        <f t="shared" si="85"/>
        <v>0</v>
      </c>
      <c r="V74" s="47">
        <f t="shared" si="85"/>
        <v>0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29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0</v>
      </c>
      <c r="U75" s="43">
        <f t="shared" si="86"/>
        <v>0</v>
      </c>
      <c r="V75" s="48">
        <f t="shared" si="86"/>
        <v>0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59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0</v>
      </c>
      <c r="U76" s="12">
        <f t="shared" si="88"/>
        <v>0</v>
      </c>
      <c r="V76" s="47">
        <f t="shared" si="88"/>
        <v>0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14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0</v>
      </c>
      <c r="T78" s="20">
        <f t="shared" si="90"/>
        <v>0</v>
      </c>
      <c r="U78" s="20">
        <f t="shared" si="90"/>
        <v>0</v>
      </c>
      <c r="V78" s="47">
        <f t="shared" si="90"/>
        <v>0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102</v>
      </c>
    </row>
    <row r="79" spans="1:27" ht="18" x14ac:dyDescent="0.25">
      <c r="A79" s="28">
        <v>12</v>
      </c>
      <c r="B79" s="59" t="str">
        <f t="shared" si="82"/>
        <v>TLM_Kappa</v>
      </c>
      <c r="C79" s="12">
        <f t="shared" ref="C79:AA79" si="91">C16</f>
        <v>0</v>
      </c>
      <c r="D79" s="20">
        <f t="shared" si="91"/>
        <v>20</v>
      </c>
      <c r="E79" s="20">
        <f t="shared" si="91"/>
        <v>0</v>
      </c>
      <c r="F79" s="47">
        <f t="shared" si="91"/>
        <v>20</v>
      </c>
      <c r="G79" s="12">
        <f t="shared" si="91"/>
        <v>0</v>
      </c>
      <c r="H79" s="12">
        <f t="shared" si="91"/>
        <v>10</v>
      </c>
      <c r="I79" s="12">
        <f t="shared" si="91"/>
        <v>0</v>
      </c>
      <c r="J79" s="47">
        <f t="shared" si="91"/>
        <v>10</v>
      </c>
      <c r="K79" s="20">
        <f t="shared" si="91"/>
        <v>0</v>
      </c>
      <c r="L79" s="20">
        <f t="shared" si="91"/>
        <v>18</v>
      </c>
      <c r="M79" s="20">
        <f t="shared" si="91"/>
        <v>0</v>
      </c>
      <c r="N79" s="47">
        <f t="shared" si="91"/>
        <v>18</v>
      </c>
      <c r="O79" s="20">
        <f t="shared" si="91"/>
        <v>0</v>
      </c>
      <c r="P79" s="20">
        <f t="shared" si="91"/>
        <v>18</v>
      </c>
      <c r="Q79" s="20">
        <f t="shared" si="91"/>
        <v>0</v>
      </c>
      <c r="R79" s="47">
        <f t="shared" si="91"/>
        <v>18</v>
      </c>
      <c r="S79" s="20">
        <f t="shared" si="91"/>
        <v>0</v>
      </c>
      <c r="T79" s="20">
        <f t="shared" si="91"/>
        <v>0</v>
      </c>
      <c r="U79" s="20">
        <f t="shared" si="91"/>
        <v>0</v>
      </c>
      <c r="V79" s="47">
        <f t="shared" si="91"/>
        <v>0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66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0</v>
      </c>
      <c r="U80" s="12">
        <f t="shared" si="93"/>
        <v>0</v>
      </c>
      <c r="V80" s="47">
        <f t="shared" si="93"/>
        <v>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39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0</v>
      </c>
      <c r="U82" s="12">
        <f t="shared" si="95"/>
        <v>0</v>
      </c>
      <c r="V82" s="47">
        <f t="shared" si="95"/>
        <v>0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42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0</v>
      </c>
      <c r="U83" s="12">
        <f t="shared" si="97"/>
        <v>0</v>
      </c>
      <c r="V83" s="47">
        <f t="shared" si="97"/>
        <v>0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15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0</v>
      </c>
      <c r="U84" s="12">
        <f t="shared" si="98"/>
        <v>0</v>
      </c>
      <c r="V84" s="47">
        <f t="shared" si="98"/>
        <v>0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15</v>
      </c>
    </row>
    <row r="85" spans="1:27" ht="18" x14ac:dyDescent="0.25">
      <c r="A85" s="28">
        <v>18</v>
      </c>
      <c r="B85" s="59" t="str">
        <f t="shared" si="96"/>
        <v>RMT _SILVERMAN-AC</v>
      </c>
      <c r="C85" s="12">
        <f t="shared" ref="C85:AA85" si="99">C23</f>
        <v>1</v>
      </c>
      <c r="D85" s="12">
        <f t="shared" si="99"/>
        <v>20</v>
      </c>
      <c r="E85" s="12">
        <f t="shared" si="99"/>
        <v>0</v>
      </c>
      <c r="F85" s="47">
        <f t="shared" si="99"/>
        <v>21</v>
      </c>
      <c r="G85" s="12">
        <f t="shared" si="99"/>
        <v>1</v>
      </c>
      <c r="H85" s="12">
        <f t="shared" si="99"/>
        <v>25</v>
      </c>
      <c r="I85" s="12">
        <f t="shared" si="99"/>
        <v>1</v>
      </c>
      <c r="J85" s="47">
        <f t="shared" si="99"/>
        <v>27</v>
      </c>
      <c r="K85" s="12">
        <f t="shared" si="99"/>
        <v>1</v>
      </c>
      <c r="L85" s="12">
        <f t="shared" si="99"/>
        <v>25</v>
      </c>
      <c r="M85" s="12">
        <f t="shared" si="99"/>
        <v>0</v>
      </c>
      <c r="N85" s="47">
        <f t="shared" si="99"/>
        <v>26</v>
      </c>
      <c r="O85" s="12">
        <f t="shared" si="99"/>
        <v>0</v>
      </c>
      <c r="P85" s="12">
        <f t="shared" si="99"/>
        <v>20</v>
      </c>
      <c r="Q85" s="12">
        <f t="shared" si="99"/>
        <v>1</v>
      </c>
      <c r="R85" s="47">
        <f t="shared" si="99"/>
        <v>21</v>
      </c>
      <c r="S85" s="12">
        <f t="shared" si="99"/>
        <v>0</v>
      </c>
      <c r="T85" s="12">
        <f t="shared" si="99"/>
        <v>0</v>
      </c>
      <c r="U85" s="12">
        <f t="shared" si="99"/>
        <v>0</v>
      </c>
      <c r="V85" s="47">
        <f t="shared" si="99"/>
        <v>0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95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0</v>
      </c>
      <c r="U87" s="12">
        <f t="shared" si="101"/>
        <v>0</v>
      </c>
      <c r="V87" s="47">
        <f t="shared" si="101"/>
        <v>0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55</v>
      </c>
    </row>
    <row r="88" spans="1:27" ht="17" x14ac:dyDescent="0.25">
      <c r="A88" s="28">
        <v>21</v>
      </c>
      <c r="B88" s="59">
        <f t="shared" si="96"/>
        <v>0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0</v>
      </c>
      <c r="I88" s="12">
        <f t="shared" si="102"/>
        <v>0</v>
      </c>
      <c r="J88" s="47">
        <f t="shared" si="102"/>
        <v>0</v>
      </c>
      <c r="K88" s="12">
        <f t="shared" si="102"/>
        <v>0</v>
      </c>
      <c r="L88" s="12">
        <f t="shared" si="102"/>
        <v>0</v>
      </c>
      <c r="M88" s="12">
        <f t="shared" si="102"/>
        <v>0</v>
      </c>
      <c r="N88" s="47">
        <f t="shared" si="102"/>
        <v>0</v>
      </c>
      <c r="O88" s="12">
        <f t="shared" si="102"/>
        <v>0</v>
      </c>
      <c r="P88" s="12">
        <f t="shared" si="102"/>
        <v>0</v>
      </c>
      <c r="Q88" s="12">
        <f t="shared" si="102"/>
        <v>0</v>
      </c>
      <c r="R88" s="47">
        <f t="shared" si="102"/>
        <v>0</v>
      </c>
      <c r="S88" s="12">
        <f t="shared" si="102"/>
        <v>0</v>
      </c>
      <c r="T88" s="12">
        <f t="shared" si="102"/>
        <v>0</v>
      </c>
      <c r="U88" s="12">
        <f t="shared" si="102"/>
        <v>0</v>
      </c>
      <c r="V88" s="47">
        <f t="shared" si="102"/>
        <v>0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0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0</v>
      </c>
      <c r="U89" s="12">
        <f t="shared" si="103"/>
        <v>0</v>
      </c>
      <c r="V89" s="47">
        <f t="shared" si="103"/>
        <v>0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31</v>
      </c>
    </row>
    <row r="90" spans="1:27" ht="18" x14ac:dyDescent="0.25">
      <c r="A90" s="28">
        <v>23</v>
      </c>
      <c r="B90" s="59" t="str">
        <f t="shared" si="96"/>
        <v>Blokkobubbles</v>
      </c>
      <c r="C90" s="12">
        <f t="shared" ref="C90:AA90" si="104">C28</f>
        <v>0</v>
      </c>
      <c r="D90" s="12">
        <f t="shared" si="104"/>
        <v>6</v>
      </c>
      <c r="E90" s="12">
        <f t="shared" si="104"/>
        <v>0</v>
      </c>
      <c r="F90" s="47">
        <f t="shared" si="104"/>
        <v>6</v>
      </c>
      <c r="G90" s="12">
        <f t="shared" si="104"/>
        <v>0</v>
      </c>
      <c r="H90" s="12">
        <f t="shared" si="104"/>
        <v>5</v>
      </c>
      <c r="I90" s="12">
        <f t="shared" si="104"/>
        <v>0</v>
      </c>
      <c r="J90" s="47">
        <f t="shared" si="104"/>
        <v>5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11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0</v>
      </c>
      <c r="U91" s="12">
        <f t="shared" si="105"/>
        <v>0</v>
      </c>
      <c r="V91" s="47">
        <f t="shared" si="105"/>
        <v>0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80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0</v>
      </c>
      <c r="U92" s="12">
        <f t="shared" si="106"/>
        <v>0</v>
      </c>
      <c r="V92" s="47">
        <f t="shared" si="106"/>
        <v>0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65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0</v>
      </c>
      <c r="U93" s="12">
        <f t="shared" si="107"/>
        <v>0</v>
      </c>
      <c r="V93" s="47">
        <f t="shared" si="107"/>
        <v>0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96</v>
      </c>
    </row>
    <row r="94" spans="1:27" ht="18" x14ac:dyDescent="0.25">
      <c r="A94" s="28">
        <v>27</v>
      </c>
      <c r="B94" s="59" t="str">
        <f t="shared" si="96"/>
        <v>Marco-super-gt</v>
      </c>
      <c r="C94" s="12">
        <f t="shared" ref="C94:AA94" si="108">C32</f>
        <v>0</v>
      </c>
      <c r="D94" s="12">
        <f t="shared" si="108"/>
        <v>18</v>
      </c>
      <c r="E94" s="12">
        <f t="shared" si="108"/>
        <v>0</v>
      </c>
      <c r="F94" s="47">
        <f t="shared" si="108"/>
        <v>18</v>
      </c>
      <c r="G94" s="12">
        <f t="shared" si="108"/>
        <v>0</v>
      </c>
      <c r="H94" s="12">
        <f t="shared" si="108"/>
        <v>14</v>
      </c>
      <c r="I94" s="12">
        <f t="shared" si="108"/>
        <v>0</v>
      </c>
      <c r="J94" s="47">
        <f t="shared" si="108"/>
        <v>14</v>
      </c>
      <c r="K94" s="12">
        <f t="shared" si="108"/>
        <v>0</v>
      </c>
      <c r="L94" s="12">
        <f t="shared" si="108"/>
        <v>10</v>
      </c>
      <c r="M94" s="12">
        <f t="shared" si="108"/>
        <v>0</v>
      </c>
      <c r="N94" s="47">
        <f t="shared" si="108"/>
        <v>10</v>
      </c>
      <c r="O94" s="12">
        <f t="shared" si="108"/>
        <v>0</v>
      </c>
      <c r="P94" s="12">
        <f t="shared" si="108"/>
        <v>14</v>
      </c>
      <c r="Q94" s="12">
        <f t="shared" si="108"/>
        <v>0</v>
      </c>
      <c r="R94" s="47">
        <f t="shared" si="108"/>
        <v>14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56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0</v>
      </c>
      <c r="U95" s="12">
        <f t="shared" si="109"/>
        <v>0</v>
      </c>
      <c r="V95" s="47">
        <f t="shared" si="109"/>
        <v>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21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0</v>
      </c>
      <c r="U96" s="12">
        <f t="shared" si="110"/>
        <v>0</v>
      </c>
      <c r="V96" s="47">
        <f t="shared" si="110"/>
        <v>0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67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0</v>
      </c>
      <c r="U97" s="12">
        <f t="shared" si="112"/>
        <v>0</v>
      </c>
      <c r="V97" s="47">
        <f t="shared" si="112"/>
        <v>0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24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0</v>
      </c>
      <c r="U98" s="12">
        <f t="shared" si="113"/>
        <v>0</v>
      </c>
      <c r="V98" s="47">
        <f t="shared" si="113"/>
        <v>0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28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0</v>
      </c>
      <c r="U99" s="12">
        <f t="shared" si="114"/>
        <v>0</v>
      </c>
      <c r="V99" s="47">
        <f t="shared" si="114"/>
        <v>0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17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0</v>
      </c>
      <c r="U100" s="12">
        <f t="shared" si="115"/>
        <v>0</v>
      </c>
      <c r="V100" s="47">
        <f t="shared" si="115"/>
        <v>0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19</v>
      </c>
    </row>
    <row r="101" spans="1:27" ht="17" x14ac:dyDescent="0.25">
      <c r="A101" s="28">
        <v>34</v>
      </c>
      <c r="B101" s="59">
        <f t="shared" si="111"/>
        <v>0</v>
      </c>
      <c r="C101" s="12">
        <f t="shared" ref="C101:AA101" si="116">C40</f>
        <v>0</v>
      </c>
      <c r="D101" s="12">
        <f t="shared" si="116"/>
        <v>0</v>
      </c>
      <c r="E101" s="12">
        <f t="shared" si="116"/>
        <v>0</v>
      </c>
      <c r="F101" s="47">
        <f t="shared" si="116"/>
        <v>0</v>
      </c>
      <c r="G101" s="12">
        <f t="shared" si="116"/>
        <v>0</v>
      </c>
      <c r="H101" s="12">
        <f t="shared" si="116"/>
        <v>0</v>
      </c>
      <c r="I101" s="12">
        <f t="shared" si="116"/>
        <v>0</v>
      </c>
      <c r="J101" s="47">
        <f t="shared" si="116"/>
        <v>0</v>
      </c>
      <c r="K101" s="12">
        <f t="shared" si="116"/>
        <v>0</v>
      </c>
      <c r="L101" s="12">
        <f t="shared" si="116"/>
        <v>0</v>
      </c>
      <c r="M101" s="12">
        <f t="shared" si="116"/>
        <v>0</v>
      </c>
      <c r="N101" s="47">
        <f t="shared" si="116"/>
        <v>0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0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0</v>
      </c>
      <c r="U102" s="12">
        <f t="shared" si="117"/>
        <v>0</v>
      </c>
      <c r="V102" s="47">
        <f t="shared" si="117"/>
        <v>0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58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0</v>
      </c>
      <c r="U103" s="12">
        <f t="shared" si="118"/>
        <v>0</v>
      </c>
      <c r="V103" s="47">
        <f t="shared" si="118"/>
        <v>0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28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0</v>
      </c>
      <c r="U104" s="12">
        <f t="shared" si="119"/>
        <v>0</v>
      </c>
      <c r="V104" s="47">
        <f t="shared" si="119"/>
        <v>0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19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0</v>
      </c>
      <c r="T105" s="12">
        <f t="shared" si="120"/>
        <v>0</v>
      </c>
      <c r="U105" s="12">
        <f t="shared" si="120"/>
        <v>0</v>
      </c>
      <c r="V105" s="47">
        <f t="shared" si="120"/>
        <v>0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107</v>
      </c>
    </row>
    <row r="106" spans="1:27" ht="17" x14ac:dyDescent="0.25">
      <c r="A106" s="28">
        <v>39</v>
      </c>
      <c r="B106" s="59">
        <f t="shared" si="111"/>
        <v>0</v>
      </c>
      <c r="C106" s="12">
        <f t="shared" ref="C106:AA106" si="121">C45</f>
        <v>0</v>
      </c>
      <c r="D106" s="12">
        <f t="shared" si="121"/>
        <v>0</v>
      </c>
      <c r="E106" s="12">
        <f t="shared" si="121"/>
        <v>0</v>
      </c>
      <c r="F106" s="47">
        <f t="shared" si="121"/>
        <v>0</v>
      </c>
      <c r="G106" s="12">
        <f t="shared" si="121"/>
        <v>0</v>
      </c>
      <c r="H106" s="12">
        <f t="shared" si="121"/>
        <v>0</v>
      </c>
      <c r="I106" s="12">
        <f t="shared" si="121"/>
        <v>0</v>
      </c>
      <c r="J106" s="47">
        <f t="shared" si="121"/>
        <v>0</v>
      </c>
      <c r="K106" s="12">
        <f t="shared" si="121"/>
        <v>0</v>
      </c>
      <c r="L106" s="12">
        <f t="shared" si="121"/>
        <v>0</v>
      </c>
      <c r="M106" s="12">
        <f t="shared" si="121"/>
        <v>0</v>
      </c>
      <c r="N106" s="47">
        <f t="shared" si="121"/>
        <v>0</v>
      </c>
      <c r="O106" s="12">
        <f t="shared" si="121"/>
        <v>0</v>
      </c>
      <c r="P106" s="12">
        <f t="shared" si="121"/>
        <v>0</v>
      </c>
      <c r="Q106" s="12">
        <f t="shared" si="121"/>
        <v>0</v>
      </c>
      <c r="R106" s="47">
        <f t="shared" si="121"/>
        <v>0</v>
      </c>
      <c r="S106" s="12">
        <f t="shared" si="121"/>
        <v>0</v>
      </c>
      <c r="T106" s="12">
        <f t="shared" si="121"/>
        <v>0</v>
      </c>
      <c r="U106" s="12">
        <f t="shared" si="121"/>
        <v>0</v>
      </c>
      <c r="V106" s="47">
        <f t="shared" si="121"/>
        <v>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0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0</v>
      </c>
      <c r="U107" s="12">
        <f t="shared" si="122"/>
        <v>0</v>
      </c>
      <c r="V107" s="47">
        <f t="shared" si="122"/>
        <v>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66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0</v>
      </c>
      <c r="U109" s="12">
        <f t="shared" si="124"/>
        <v>0</v>
      </c>
      <c r="V109" s="47">
        <f t="shared" si="124"/>
        <v>0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0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0</v>
      </c>
      <c r="U110" s="12">
        <f t="shared" si="125"/>
        <v>0</v>
      </c>
      <c r="V110" s="47">
        <f t="shared" si="125"/>
        <v>0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74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0</v>
      </c>
      <c r="U111" s="12">
        <f t="shared" si="127"/>
        <v>0</v>
      </c>
      <c r="V111" s="47">
        <f t="shared" si="127"/>
        <v>0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17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0</v>
      </c>
      <c r="T112" s="12">
        <f t="shared" si="128"/>
        <v>0</v>
      </c>
      <c r="U112" s="12">
        <f t="shared" si="128"/>
        <v>0</v>
      </c>
      <c r="V112" s="47">
        <f t="shared" si="128"/>
        <v>0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54</v>
      </c>
    </row>
    <row r="113" spans="1:27" ht="18" x14ac:dyDescent="0.25">
      <c r="A113" s="28">
        <v>46</v>
      </c>
      <c r="B113" s="59" t="str">
        <f t="shared" si="126"/>
        <v>recidivo92</v>
      </c>
      <c r="C113" s="12">
        <f t="shared" ref="C113:AA113" si="129">C53</f>
        <v>0</v>
      </c>
      <c r="D113" s="12">
        <f t="shared" si="129"/>
        <v>3</v>
      </c>
      <c r="E113" s="12">
        <f t="shared" si="129"/>
        <v>0</v>
      </c>
      <c r="F113" s="47">
        <f t="shared" si="129"/>
        <v>3</v>
      </c>
      <c r="G113" s="12">
        <f t="shared" si="129"/>
        <v>0</v>
      </c>
      <c r="H113" s="12">
        <f t="shared" si="129"/>
        <v>6</v>
      </c>
      <c r="I113" s="12">
        <f t="shared" si="129"/>
        <v>0</v>
      </c>
      <c r="J113" s="47">
        <f t="shared" si="129"/>
        <v>6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9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0</v>
      </c>
      <c r="U114" s="12">
        <f t="shared" si="130"/>
        <v>0</v>
      </c>
      <c r="V114" s="47">
        <f t="shared" si="130"/>
        <v>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50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0</v>
      </c>
      <c r="U115" s="12">
        <f t="shared" si="131"/>
        <v>0</v>
      </c>
      <c r="V115" s="47">
        <f t="shared" si="131"/>
        <v>0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14</v>
      </c>
    </row>
    <row r="116" spans="1:27" ht="17" x14ac:dyDescent="0.25">
      <c r="A116" s="28">
        <v>49</v>
      </c>
      <c r="B116" s="59">
        <f t="shared" si="126"/>
        <v>0</v>
      </c>
      <c r="C116" s="12">
        <f t="shared" ref="C116:AA116" si="132">C56</f>
        <v>0</v>
      </c>
      <c r="D116" s="12">
        <f t="shared" si="132"/>
        <v>0</v>
      </c>
      <c r="E116" s="12">
        <f t="shared" si="132"/>
        <v>0</v>
      </c>
      <c r="F116" s="47">
        <f t="shared" si="132"/>
        <v>0</v>
      </c>
      <c r="G116" s="12">
        <f t="shared" si="132"/>
        <v>0</v>
      </c>
      <c r="H116" s="12">
        <f t="shared" si="132"/>
        <v>0</v>
      </c>
      <c r="I116" s="12">
        <f t="shared" si="132"/>
        <v>0</v>
      </c>
      <c r="J116" s="47">
        <f t="shared" si="132"/>
        <v>0</v>
      </c>
      <c r="K116" s="12">
        <f t="shared" si="132"/>
        <v>0</v>
      </c>
      <c r="L116" s="12">
        <f t="shared" si="132"/>
        <v>0</v>
      </c>
      <c r="M116" s="12">
        <f t="shared" si="132"/>
        <v>0</v>
      </c>
      <c r="N116" s="47">
        <f t="shared" si="132"/>
        <v>0</v>
      </c>
      <c r="O116" s="12">
        <f t="shared" si="132"/>
        <v>0</v>
      </c>
      <c r="P116" s="12">
        <f t="shared" si="132"/>
        <v>0</v>
      </c>
      <c r="Q116" s="12">
        <f t="shared" si="132"/>
        <v>0</v>
      </c>
      <c r="R116" s="47">
        <f t="shared" si="132"/>
        <v>0</v>
      </c>
      <c r="S116" s="12">
        <f t="shared" si="132"/>
        <v>0</v>
      </c>
      <c r="T116" s="12">
        <f t="shared" si="132"/>
        <v>0</v>
      </c>
      <c r="U116" s="12">
        <f t="shared" si="132"/>
        <v>0</v>
      </c>
      <c r="V116" s="47">
        <f t="shared" si="132"/>
        <v>0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0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0</v>
      </c>
      <c r="U117" s="12">
        <f t="shared" si="133"/>
        <v>0</v>
      </c>
      <c r="V117" s="47">
        <f t="shared" si="133"/>
        <v>0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16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0</v>
      </c>
      <c r="U118" s="12">
        <f t="shared" si="134"/>
        <v>0</v>
      </c>
      <c r="V118" s="47">
        <f t="shared" si="134"/>
        <v>0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64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0</v>
      </c>
      <c r="U119" s="12">
        <f t="shared" si="135"/>
        <v>0</v>
      </c>
      <c r="V119" s="47">
        <f t="shared" si="135"/>
        <v>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38</v>
      </c>
    </row>
    <row r="120" spans="1:27" ht="17" x14ac:dyDescent="0.25">
      <c r="A120" s="28">
        <v>53</v>
      </c>
      <c r="B120" s="59">
        <f t="shared" si="126"/>
        <v>0</v>
      </c>
      <c r="C120" s="12">
        <f t="shared" ref="C120:AA120" si="136">C60</f>
        <v>0</v>
      </c>
      <c r="D120" s="12">
        <f t="shared" si="136"/>
        <v>0</v>
      </c>
      <c r="E120" s="12">
        <f t="shared" si="136"/>
        <v>0</v>
      </c>
      <c r="F120" s="47">
        <f t="shared" si="136"/>
        <v>0</v>
      </c>
      <c r="G120" s="12">
        <f t="shared" si="136"/>
        <v>0</v>
      </c>
      <c r="H120" s="12">
        <f t="shared" si="136"/>
        <v>0</v>
      </c>
      <c r="I120" s="12">
        <f t="shared" si="136"/>
        <v>0</v>
      </c>
      <c r="J120" s="47">
        <f t="shared" si="136"/>
        <v>0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0</v>
      </c>
      <c r="U120" s="12">
        <f t="shared" si="136"/>
        <v>0</v>
      </c>
      <c r="V120" s="47">
        <f t="shared" si="136"/>
        <v>0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0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0</v>
      </c>
      <c r="U123" s="12">
        <f t="shared" si="139"/>
        <v>0</v>
      </c>
      <c r="V123" s="47">
        <f t="shared" si="139"/>
        <v>0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46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5" workbookViewId="0">
      <selection activeCell="B50" sqref="B50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P1" zoomScale="93" zoomScaleNormal="121" workbookViewId="0">
      <selection activeCell="B5" sqref="B5:B1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102</v>
      </c>
    </row>
    <row r="6" spans="1:27" ht="17" x14ac:dyDescent="0.2">
      <c r="A6" s="62" t="s">
        <v>3</v>
      </c>
      <c r="B6" s="53" t="str">
        <v>andvea_99</v>
      </c>
      <c r="C6" s="12" t="str">
        <v/>
      </c>
      <c r="D6" s="12" t="str">
        <v/>
      </c>
      <c r="E6" s="12" t="str">
        <v/>
      </c>
      <c r="F6" s="47" t="str">
        <v/>
      </c>
      <c r="G6" s="12" t="str">
        <v/>
      </c>
      <c r="H6" s="12">
        <v>20</v>
      </c>
      <c r="I6" s="12" t="str">
        <v/>
      </c>
      <c r="J6" s="47">
        <v>20</v>
      </c>
      <c r="K6" s="12" t="str">
        <v/>
      </c>
      <c r="L6" s="12">
        <v>20</v>
      </c>
      <c r="M6" s="12" t="str">
        <v/>
      </c>
      <c r="N6" s="47">
        <v>20</v>
      </c>
      <c r="O6" s="12" t="str">
        <v/>
      </c>
      <c r="P6" s="12">
        <v>25</v>
      </c>
      <c r="Q6" s="12">
        <v>1</v>
      </c>
      <c r="R6" s="47">
        <v>26</v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66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>
        <v>18</v>
      </c>
      <c r="M7" s="12" t="str">
        <v/>
      </c>
      <c r="N7" s="47">
        <v>18</v>
      </c>
      <c r="O7" s="12" t="str">
        <v/>
      </c>
      <c r="P7" s="12">
        <v>18</v>
      </c>
      <c r="Q7" s="12" t="str">
        <v/>
      </c>
      <c r="R7" s="47">
        <v>18</v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66</v>
      </c>
    </row>
    <row r="8" spans="1:27" ht="17" x14ac:dyDescent="0.2">
      <c r="A8" s="55" t="s">
        <v>5</v>
      </c>
      <c r="B8" s="53" t="str">
        <v>Rupetheking</v>
      </c>
      <c r="C8" s="12" t="str">
        <v/>
      </c>
      <c r="D8" s="12">
        <v>3</v>
      </c>
      <c r="E8" s="12" t="str">
        <v/>
      </c>
      <c r="F8" s="47">
        <v>3</v>
      </c>
      <c r="G8" s="12" t="str">
        <v/>
      </c>
      <c r="H8" s="12">
        <v>20</v>
      </c>
      <c r="I8" s="12" t="str">
        <v/>
      </c>
      <c r="J8" s="47">
        <v>20</v>
      </c>
      <c r="K8" s="12" t="str">
        <v/>
      </c>
      <c r="L8" s="12">
        <v>20</v>
      </c>
      <c r="M8" s="12" t="str">
        <v/>
      </c>
      <c r="N8" s="47">
        <v>20</v>
      </c>
      <c r="O8" s="49" t="str">
        <v/>
      </c>
      <c r="P8" s="20">
        <v>16</v>
      </c>
      <c r="Q8" s="20" t="str">
        <v/>
      </c>
      <c r="R8" s="47">
        <v>16</v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59</v>
      </c>
    </row>
    <row r="9" spans="1:27" ht="17" x14ac:dyDescent="0.2">
      <c r="A9" s="55" t="s">
        <v>6</v>
      </c>
      <c r="B9" s="53" t="str">
        <v>CORNAZZAI73</v>
      </c>
      <c r="C9" s="12" t="str">
        <v/>
      </c>
      <c r="D9" s="12">
        <v>16</v>
      </c>
      <c r="E9" s="12" t="str">
        <v/>
      </c>
      <c r="F9" s="47">
        <v>16</v>
      </c>
      <c r="G9" s="12" t="str">
        <v/>
      </c>
      <c r="H9" s="12">
        <v>14</v>
      </c>
      <c r="I9" s="12" t="str">
        <v/>
      </c>
      <c r="J9" s="47">
        <v>14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6</v>
      </c>
      <c r="Q9" s="12" t="str">
        <v/>
      </c>
      <c r="R9" s="47">
        <v>6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xRUA85x</v>
      </c>
      <c r="C10" s="12" t="str">
        <v/>
      </c>
      <c r="D10" s="12">
        <v>12</v>
      </c>
      <c r="E10" s="12" t="str">
        <v/>
      </c>
      <c r="F10" s="47">
        <v>12</v>
      </c>
      <c r="G10" s="12" t="str">
        <v/>
      </c>
      <c r="H10" s="12">
        <v>16</v>
      </c>
      <c r="I10" s="12" t="str">
        <v/>
      </c>
      <c r="J10" s="47">
        <v>16</v>
      </c>
      <c r="K10" s="20" t="str">
        <v/>
      </c>
      <c r="L10" s="20">
        <v>14</v>
      </c>
      <c r="M10" s="20" t="str">
        <v/>
      </c>
      <c r="N10" s="47">
        <v>14</v>
      </c>
      <c r="O10" s="12" t="str">
        <v/>
      </c>
      <c r="P10" s="12">
        <v>8</v>
      </c>
      <c r="Q10" s="12" t="str">
        <v/>
      </c>
      <c r="R10" s="47">
        <v>8</v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50</v>
      </c>
    </row>
    <row r="11" spans="1:27" ht="17.25" customHeight="1" x14ac:dyDescent="0.2">
      <c r="A11" s="55" t="s">
        <v>8</v>
      </c>
      <c r="B11" s="53" t="str">
        <v>TheGuarny</v>
      </c>
      <c r="C11" s="12" t="str">
        <v/>
      </c>
      <c r="D11" s="12">
        <v>20</v>
      </c>
      <c r="E11" s="12" t="str">
        <v/>
      </c>
      <c r="F11" s="47">
        <v>20</v>
      </c>
      <c r="G11" s="12" t="str">
        <v/>
      </c>
      <c r="H11" s="12">
        <v>14</v>
      </c>
      <c r="I11" s="12" t="str">
        <v/>
      </c>
      <c r="J11" s="47">
        <v>14</v>
      </c>
      <c r="K11" s="12" t="str">
        <v/>
      </c>
      <c r="L11" s="12">
        <v>14</v>
      </c>
      <c r="M11" s="12" t="str">
        <v/>
      </c>
      <c r="N11" s="47">
        <v>14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48</v>
      </c>
    </row>
    <row r="12" spans="1:27" ht="17" x14ac:dyDescent="0.2">
      <c r="A12" s="55" t="s">
        <v>9</v>
      </c>
      <c r="B12" s="57" t="str">
        <v>TLM_Sicily22</v>
      </c>
      <c r="C12" s="12" t="str">
        <v/>
      </c>
      <c r="D12" s="12" t="str">
        <v/>
      </c>
      <c r="E12" s="12" t="str">
        <v/>
      </c>
      <c r="F12" s="47" t="str">
        <v/>
      </c>
      <c r="G12" s="12" t="str">
        <v/>
      </c>
      <c r="H12" s="12">
        <v>18</v>
      </c>
      <c r="I12" s="12" t="str">
        <v/>
      </c>
      <c r="J12" s="47">
        <v>18</v>
      </c>
      <c r="K12" s="12" t="str">
        <v/>
      </c>
      <c r="L12" s="12">
        <v>12</v>
      </c>
      <c r="M12" s="12" t="str">
        <v/>
      </c>
      <c r="N12" s="47">
        <v>12</v>
      </c>
      <c r="O12" s="20" t="str">
        <v/>
      </c>
      <c r="P12" s="20">
        <v>12</v>
      </c>
      <c r="Q12" s="20" t="str">
        <v/>
      </c>
      <c r="R12" s="47">
        <v>12</v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42</v>
      </c>
    </row>
    <row r="13" spans="1:27" ht="17" x14ac:dyDescent="0.2">
      <c r="A13" s="55" t="s">
        <v>10</v>
      </c>
      <c r="B13" s="53" t="str">
        <v>TLM_michaelfox12</v>
      </c>
      <c r="C13" s="20" t="str">
        <v/>
      </c>
      <c r="D13" s="20">
        <v>6</v>
      </c>
      <c r="E13" s="20" t="str">
        <v/>
      </c>
      <c r="F13" s="47">
        <v>6</v>
      </c>
      <c r="G13" s="12" t="str">
        <v/>
      </c>
      <c r="H13" s="12">
        <v>12</v>
      </c>
      <c r="I13" s="12" t="str">
        <v/>
      </c>
      <c r="J13" s="47">
        <v>12</v>
      </c>
      <c r="K13" s="12" t="str">
        <v/>
      </c>
      <c r="L13" s="12">
        <v>16</v>
      </c>
      <c r="M13" s="12" t="str">
        <v/>
      </c>
      <c r="N13" s="47">
        <v>16</v>
      </c>
      <c r="O13" s="12" t="str">
        <v/>
      </c>
      <c r="P13" s="12">
        <v>5</v>
      </c>
      <c r="Q13" s="12" t="str">
        <v/>
      </c>
      <c r="R13" s="47">
        <v>5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39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>
        <v>14</v>
      </c>
      <c r="Q14" s="12" t="str">
        <v/>
      </c>
      <c r="R14" s="47">
        <v>14</v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29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>
        <v>10</v>
      </c>
      <c r="Q15" s="20" t="str">
        <v/>
      </c>
      <c r="R15" s="47">
        <v>10</v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25</v>
      </c>
    </row>
    <row r="16" spans="1:27" ht="17" x14ac:dyDescent="0.2">
      <c r="A16" s="55" t="s">
        <v>13</v>
      </c>
      <c r="B16" s="53" t="str">
        <v>GTRC-ALERASATO74</v>
      </c>
      <c r="C16" s="20" t="str">
        <v/>
      </c>
      <c r="D16" s="20">
        <v>8</v>
      </c>
      <c r="E16" s="20" t="str">
        <v/>
      </c>
      <c r="F16" s="47">
        <v>8</v>
      </c>
      <c r="G16" s="12" t="str">
        <v/>
      </c>
      <c r="H16" s="12">
        <v>8</v>
      </c>
      <c r="I16" s="12" t="str">
        <v/>
      </c>
      <c r="J16" s="47">
        <v>8</v>
      </c>
      <c r="K16" s="20" t="str">
        <v/>
      </c>
      <c r="L16" s="20">
        <v>5</v>
      </c>
      <c r="M16" s="20" t="str">
        <v/>
      </c>
      <c r="N16" s="47">
        <v>5</v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21</v>
      </c>
    </row>
    <row r="17" spans="1:16358" ht="17" x14ac:dyDescent="0.2">
      <c r="A17" s="55" t="s">
        <v>20</v>
      </c>
      <c r="B17" s="53" t="str">
        <v>Selpa974</v>
      </c>
      <c r="C17" s="20" t="str">
        <v/>
      </c>
      <c r="D17" s="20">
        <v>16</v>
      </c>
      <c r="E17" s="20" t="str">
        <v/>
      </c>
      <c r="F17" s="47">
        <v>16</v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16</v>
      </c>
    </row>
    <row r="18" spans="1:16358" ht="17" x14ac:dyDescent="0.25">
      <c r="A18" s="55" t="s">
        <v>21</v>
      </c>
      <c r="B18" s="53" t="str">
        <v>TeoDaniricky2000</v>
      </c>
      <c r="C18" s="20" t="str">
        <v/>
      </c>
      <c r="D18" s="20">
        <v>4</v>
      </c>
      <c r="E18" s="20" t="str">
        <v/>
      </c>
      <c r="F18" s="47">
        <v>4</v>
      </c>
      <c r="G18" s="20" t="str">
        <v/>
      </c>
      <c r="H18" s="20">
        <v>6</v>
      </c>
      <c r="I18" s="20" t="str">
        <v/>
      </c>
      <c r="J18" s="47">
        <v>6</v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>
        <v>4</v>
      </c>
      <c r="Q18" s="12" t="str">
        <v/>
      </c>
      <c r="R18" s="47">
        <v>4</v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>
        <v>14</v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96</v>
      </c>
    </row>
    <row r="21" spans="1:16358" ht="17" x14ac:dyDescent="0.2">
      <c r="A21" s="54" t="s">
        <v>3</v>
      </c>
      <c r="B21" s="53" t="str">
        <v>RMT _SILVERMAN-AC</v>
      </c>
      <c r="C21" s="12">
        <v>1</v>
      </c>
      <c r="D21" s="12">
        <v>20</v>
      </c>
      <c r="E21" s="12" t="str">
        <v/>
      </c>
      <c r="F21" s="47">
        <v>21</v>
      </c>
      <c r="G21" s="12">
        <v>1</v>
      </c>
      <c r="H21" s="12">
        <v>25</v>
      </c>
      <c r="I21" s="12">
        <v>1</v>
      </c>
      <c r="J21" s="47">
        <v>27</v>
      </c>
      <c r="K21" s="12">
        <v>1</v>
      </c>
      <c r="L21" s="12">
        <v>25</v>
      </c>
      <c r="M21" s="12" t="str">
        <v/>
      </c>
      <c r="N21" s="47">
        <v>26</v>
      </c>
      <c r="O21" s="12" t="str">
        <v/>
      </c>
      <c r="P21" s="12">
        <v>20</v>
      </c>
      <c r="Q21" s="12">
        <v>1</v>
      </c>
      <c r="R21" s="47">
        <v>21</v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95</v>
      </c>
    </row>
    <row r="22" spans="1:16358" ht="17" x14ac:dyDescent="0.2">
      <c r="A22" s="55" t="s">
        <v>4</v>
      </c>
      <c r="B22" s="53" t="str">
        <v>Pointshark</v>
      </c>
      <c r="C22" s="12" t="str">
        <v/>
      </c>
      <c r="D22" s="12">
        <v>18</v>
      </c>
      <c r="E22" s="12">
        <v>1</v>
      </c>
      <c r="F22" s="47">
        <v>19</v>
      </c>
      <c r="G22" s="12" t="str">
        <v/>
      </c>
      <c r="H22" s="12">
        <v>20</v>
      </c>
      <c r="I22" s="12">
        <v>1</v>
      </c>
      <c r="J22" s="47">
        <v>21</v>
      </c>
      <c r="K22" s="12">
        <v>1</v>
      </c>
      <c r="L22" s="12">
        <v>25</v>
      </c>
      <c r="M22" s="12">
        <v>1</v>
      </c>
      <c r="N22" s="47">
        <v>27</v>
      </c>
      <c r="O22" s="12">
        <v>1</v>
      </c>
      <c r="P22" s="12">
        <v>12</v>
      </c>
      <c r="Q22" s="12" t="str">
        <v/>
      </c>
      <c r="R22" s="47">
        <v>13</v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80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65</v>
      </c>
    </row>
    <row r="24" spans="1:16358" ht="17" x14ac:dyDescent="0.2">
      <c r="A24" s="55" t="s">
        <v>6</v>
      </c>
      <c r="B24" s="53" t="str">
        <v>Marco-super-gt</v>
      </c>
      <c r="C24" s="12" t="str">
        <v/>
      </c>
      <c r="D24" s="12">
        <v>18</v>
      </c>
      <c r="E24" s="12" t="str">
        <v/>
      </c>
      <c r="F24" s="47">
        <v>18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10</v>
      </c>
      <c r="M24" s="12" t="str">
        <v/>
      </c>
      <c r="N24" s="47">
        <v>10</v>
      </c>
      <c r="O24" s="12" t="str">
        <v/>
      </c>
      <c r="P24" s="12">
        <v>14</v>
      </c>
      <c r="Q24" s="12" t="str">
        <v/>
      </c>
      <c r="R24" s="47">
        <v>14</v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56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55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42</v>
      </c>
    </row>
    <row r="27" spans="1:16358" ht="17" x14ac:dyDescent="0.2">
      <c r="A27" s="55" t="s">
        <v>9</v>
      </c>
      <c r="B27" s="57" t="str">
        <v>Bobgre93</v>
      </c>
      <c r="C27" s="12" t="str">
        <v/>
      </c>
      <c r="D27" s="12">
        <v>20</v>
      </c>
      <c r="E27" s="12" t="str">
        <v/>
      </c>
      <c r="F27" s="47">
        <v>20</v>
      </c>
      <c r="G27" s="12" t="str">
        <v/>
      </c>
      <c r="H27" s="12">
        <v>16</v>
      </c>
      <c r="I27" s="12" t="str">
        <v/>
      </c>
      <c r="J27" s="47">
        <v>16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36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>
        <v>8</v>
      </c>
      <c r="M28" s="12" t="str">
        <v/>
      </c>
      <c r="N28" s="47">
        <v>8</v>
      </c>
      <c r="O28" s="12" t="str">
        <v/>
      </c>
      <c r="P28" s="12">
        <v>10</v>
      </c>
      <c r="Q28" s="12" t="str">
        <v/>
      </c>
      <c r="R28" s="47">
        <v>10</v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31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21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15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15</v>
      </c>
    </row>
    <row r="32" spans="1:16358" ht="15" customHeight="1" x14ac:dyDescent="0.2">
      <c r="A32" s="55" t="s">
        <v>20</v>
      </c>
      <c r="B32" s="53" t="str">
        <v>Blokkobubbles</v>
      </c>
      <c r="C32" s="20" t="str">
        <v/>
      </c>
      <c r="D32" s="20">
        <v>6</v>
      </c>
      <c r="E32" s="20" t="str">
        <v/>
      </c>
      <c r="F32" s="47">
        <v>6</v>
      </c>
      <c r="G32" s="20" t="str">
        <v/>
      </c>
      <c r="H32" s="20">
        <v>5</v>
      </c>
      <c r="I32" s="20" t="str">
        <v/>
      </c>
      <c r="J32" s="47">
        <v>5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11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107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>
        <v>14</v>
      </c>
      <c r="Q36" s="12" t="str">
        <v/>
      </c>
      <c r="R36" s="47">
        <v>14</v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67</v>
      </c>
    </row>
    <row r="37" spans="1:27" ht="17" x14ac:dyDescent="0.2">
      <c r="A37" s="54" t="s">
        <v>4</v>
      </c>
      <c r="B37" s="53" t="str">
        <v>TLM_wid83</v>
      </c>
      <c r="C37" s="12" t="str">
        <v/>
      </c>
      <c r="D37" s="12">
        <v>18</v>
      </c>
      <c r="E37" s="12" t="str">
        <v/>
      </c>
      <c r="F37" s="47">
        <v>18</v>
      </c>
      <c r="G37" s="12" t="str">
        <v/>
      </c>
      <c r="H37" s="12">
        <v>12</v>
      </c>
      <c r="I37" s="12" t="str">
        <v/>
      </c>
      <c r="J37" s="47">
        <v>12</v>
      </c>
      <c r="K37" s="12" t="str">
        <v/>
      </c>
      <c r="L37" s="12">
        <v>16</v>
      </c>
      <c r="M37" s="12" t="str">
        <v/>
      </c>
      <c r="N37" s="47">
        <v>16</v>
      </c>
      <c r="O37" s="12" t="str">
        <v/>
      </c>
      <c r="P37" s="12">
        <v>20</v>
      </c>
      <c r="Q37" s="12" t="str">
        <v/>
      </c>
      <c r="R37" s="47">
        <v>20</v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66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58</v>
      </c>
    </row>
    <row r="39" spans="1:27" ht="17" x14ac:dyDescent="0.2">
      <c r="A39" s="55" t="s">
        <v>6</v>
      </c>
      <c r="B39" s="53" t="str">
        <v>jet_morello</v>
      </c>
      <c r="C39" s="12" t="str">
        <v/>
      </c>
      <c r="D39" s="12">
        <v>12</v>
      </c>
      <c r="E39" s="12" t="str">
        <v/>
      </c>
      <c r="F39" s="47">
        <v>12</v>
      </c>
      <c r="G39" s="12" t="str">
        <v/>
      </c>
      <c r="H39" s="12">
        <v>10</v>
      </c>
      <c r="I39" s="12" t="str">
        <v/>
      </c>
      <c r="J39" s="47">
        <v>10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>
        <v>16</v>
      </c>
      <c r="Q39" s="12" t="str">
        <v/>
      </c>
      <c r="R39" s="47">
        <v>16</v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38</v>
      </c>
    </row>
    <row r="40" spans="1:27" ht="17" x14ac:dyDescent="0.2">
      <c r="A40" s="55" t="s">
        <v>7</v>
      </c>
      <c r="B40" s="53" t="str">
        <v>madonte</v>
      </c>
      <c r="C40" s="12" t="str">
        <v/>
      </c>
      <c r="D40" s="12">
        <v>10</v>
      </c>
      <c r="E40" s="12" t="str">
        <v/>
      </c>
      <c r="F40" s="47">
        <v>10</v>
      </c>
      <c r="G40" s="12" t="str">
        <v/>
      </c>
      <c r="H40" s="12">
        <v>6</v>
      </c>
      <c r="I40" s="12" t="str">
        <v/>
      </c>
      <c r="J40" s="47">
        <v>6</v>
      </c>
      <c r="K40" s="20" t="str">
        <v/>
      </c>
      <c r="L40" s="20">
        <v>12</v>
      </c>
      <c r="M40" s="20" t="str">
        <v/>
      </c>
      <c r="N40" s="47">
        <v>12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28</v>
      </c>
    </row>
    <row r="41" spans="1:27" ht="17" x14ac:dyDescent="0.2">
      <c r="A41" s="55" t="s">
        <v>8</v>
      </c>
      <c r="B41" s="53" t="str">
        <v>Cjcerbola</v>
      </c>
      <c r="C41" s="12" t="str">
        <v/>
      </c>
      <c r="D41" s="12">
        <v>6</v>
      </c>
      <c r="E41" s="12" t="str">
        <v/>
      </c>
      <c r="F41" s="47">
        <v>6</v>
      </c>
      <c r="G41" s="12" t="str">
        <v/>
      </c>
      <c r="H41" s="12">
        <v>5</v>
      </c>
      <c r="I41" s="12" t="str">
        <v/>
      </c>
      <c r="J41" s="47">
        <v>5</v>
      </c>
      <c r="K41" s="12" t="str">
        <v/>
      </c>
      <c r="L41" s="12">
        <v>5</v>
      </c>
      <c r="M41" s="12" t="str">
        <v/>
      </c>
      <c r="N41" s="47">
        <v>5</v>
      </c>
      <c r="O41" s="12" t="str">
        <v/>
      </c>
      <c r="P41" s="12">
        <v>12</v>
      </c>
      <c r="Q41" s="12" t="str">
        <v/>
      </c>
      <c r="R41" s="47">
        <v>12</v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8</v>
      </c>
      <c r="Q42" s="20" t="str">
        <v/>
      </c>
      <c r="R42" s="47">
        <v>8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24</v>
      </c>
    </row>
    <row r="43" spans="1:27" ht="17" x14ac:dyDescent="0.2">
      <c r="A43" s="55" t="s">
        <v>10</v>
      </c>
      <c r="B43" s="53" t="str">
        <v>Isnotacrime</v>
      </c>
      <c r="C43" s="20" t="str">
        <v/>
      </c>
      <c r="D43" s="20">
        <v>3</v>
      </c>
      <c r="E43" s="20" t="str">
        <v/>
      </c>
      <c r="F43" s="47">
        <v>3</v>
      </c>
      <c r="G43" s="12" t="str">
        <v/>
      </c>
      <c r="H43" s="12" t="str">
        <v/>
      </c>
      <c r="I43" s="12" t="str">
        <v/>
      </c>
      <c r="J43" s="47" t="str">
        <v/>
      </c>
      <c r="K43" s="12" t="str">
        <v/>
      </c>
      <c r="L43" s="12">
        <v>6</v>
      </c>
      <c r="M43" s="12" t="str">
        <v/>
      </c>
      <c r="N43" s="47">
        <v>6</v>
      </c>
      <c r="O43" s="12" t="str">
        <v/>
      </c>
      <c r="P43" s="12">
        <v>10</v>
      </c>
      <c r="Q43" s="12" t="str">
        <v/>
      </c>
      <c r="R43" s="47">
        <v>10</v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19</v>
      </c>
    </row>
    <row r="44" spans="1:27" ht="17" x14ac:dyDescent="0.2">
      <c r="A44" s="55" t="s">
        <v>11</v>
      </c>
      <c r="B44" s="53" t="str">
        <v>TLM_CaLiGoLa</v>
      </c>
      <c r="C44" s="12" t="str">
        <v/>
      </c>
      <c r="D44" s="12">
        <v>5</v>
      </c>
      <c r="E44" s="12" t="str">
        <v/>
      </c>
      <c r="F44" s="47">
        <v>5</v>
      </c>
      <c r="G44" s="12" t="str">
        <v/>
      </c>
      <c r="H44" s="12" t="str">
        <v/>
      </c>
      <c r="I44" s="12" t="str">
        <v/>
      </c>
      <c r="J44" s="47" t="str">
        <v/>
      </c>
      <c r="K44" s="20" t="str">
        <v/>
      </c>
      <c r="L44" s="20">
        <v>8</v>
      </c>
      <c r="M44" s="20" t="str">
        <v/>
      </c>
      <c r="N44" s="47">
        <v>8</v>
      </c>
      <c r="O44" s="12" t="str">
        <v/>
      </c>
      <c r="P44" s="12">
        <v>6</v>
      </c>
      <c r="Q44" s="12" t="str">
        <v/>
      </c>
      <c r="R44" s="47">
        <v>6</v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19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>
        <v>4</v>
      </c>
      <c r="M45" s="12" t="str">
        <v/>
      </c>
      <c r="N45" s="47">
        <v>4</v>
      </c>
      <c r="O45" s="20" t="str">
        <v/>
      </c>
      <c r="P45" s="20">
        <v>5</v>
      </c>
      <c r="Q45" s="20" t="str">
        <v/>
      </c>
      <c r="R45" s="47">
        <v>5</v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17</v>
      </c>
    </row>
    <row r="46" spans="1:27" ht="17" x14ac:dyDescent="0.2">
      <c r="A46" s="55" t="s">
        <v>13</v>
      </c>
      <c r="B46" s="53" t="str">
        <v>Patanel86</v>
      </c>
      <c r="C46" s="20" t="str">
        <v/>
      </c>
      <c r="D46" s="20" t="str">
        <v/>
      </c>
      <c r="E46" s="20" t="str">
        <v/>
      </c>
      <c r="F46" s="47" t="str">
        <v/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 t="str">
        <v/>
      </c>
    </row>
    <row r="47" spans="1:27" ht="17" x14ac:dyDescent="0.2">
      <c r="A47" s="55" t="s">
        <v>20</v>
      </c>
      <c r="B47" s="53" t="str">
        <v/>
      </c>
      <c r="C47" s="20" t="str">
        <v/>
      </c>
      <c r="D47" s="20" t="str">
        <v/>
      </c>
      <c r="E47" s="20" t="str">
        <v/>
      </c>
      <c r="F47" s="47" t="str">
        <v/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 t="str">
        <v/>
      </c>
    </row>
    <row r="48" spans="1:27" ht="17" x14ac:dyDescent="0.2">
      <c r="A48" s="55" t="s">
        <v>21</v>
      </c>
      <c r="B48" s="53" t="str">
        <v/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X-Gianni-</v>
      </c>
      <c r="C51" s="12" t="str">
        <v/>
      </c>
      <c r="D51" s="12">
        <v>18</v>
      </c>
      <c r="E51" s="12" t="str">
        <v/>
      </c>
      <c r="F51" s="47">
        <v>18</v>
      </c>
      <c r="G51" s="12" t="str">
        <v/>
      </c>
      <c r="H51" s="12">
        <v>12</v>
      </c>
      <c r="I51" s="12" t="str">
        <v/>
      </c>
      <c r="J51" s="47">
        <v>12</v>
      </c>
      <c r="K51" s="12" t="str">
        <v/>
      </c>
      <c r="L51" s="12">
        <v>14</v>
      </c>
      <c r="M51" s="12" t="str">
        <v/>
      </c>
      <c r="N51" s="47">
        <v>14</v>
      </c>
      <c r="O51" s="12" t="str">
        <v/>
      </c>
      <c r="P51" s="12">
        <v>20</v>
      </c>
      <c r="Q51" s="12" t="str">
        <v/>
      </c>
      <c r="R51" s="47">
        <v>20</v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64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54</v>
      </c>
    </row>
    <row r="53" spans="1:27" ht="17" x14ac:dyDescent="0.2">
      <c r="A53" s="55" t="s">
        <v>5</v>
      </c>
      <c r="B53" s="53" t="str">
        <v>Silentium884</v>
      </c>
      <c r="C53" s="12" t="str">
        <v/>
      </c>
      <c r="D53" s="12">
        <v>16</v>
      </c>
      <c r="E53" s="12" t="str">
        <v/>
      </c>
      <c r="F53" s="47">
        <v>16</v>
      </c>
      <c r="G53" s="12" t="str">
        <v/>
      </c>
      <c r="H53" s="12" t="str">
        <v/>
      </c>
      <c r="I53" s="12" t="str">
        <v/>
      </c>
      <c r="J53" s="47" t="str">
        <v/>
      </c>
      <c r="K53" s="12" t="str">
        <v/>
      </c>
      <c r="L53" s="12">
        <v>18</v>
      </c>
      <c r="M53" s="12" t="str">
        <v/>
      </c>
      <c r="N53" s="47">
        <v>18</v>
      </c>
      <c r="O53" s="49" t="str">
        <v/>
      </c>
      <c r="P53" s="20">
        <v>16</v>
      </c>
      <c r="Q53" s="20" t="str">
        <v/>
      </c>
      <c r="R53" s="47">
        <v>16</v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50</v>
      </c>
    </row>
    <row r="54" spans="1:27" ht="17" x14ac:dyDescent="0.2">
      <c r="A54" s="55" t="s">
        <v>6</v>
      </c>
      <c r="B54" s="53" t="str">
        <v>Tonyroto74</v>
      </c>
      <c r="C54" s="12" t="str">
        <v/>
      </c>
      <c r="D54" s="12">
        <v>10</v>
      </c>
      <c r="E54" s="12" t="str">
        <v/>
      </c>
      <c r="F54" s="47">
        <v>10</v>
      </c>
      <c r="G54" s="12" t="str">
        <v/>
      </c>
      <c r="H54" s="12">
        <v>10</v>
      </c>
      <c r="I54" s="12" t="str">
        <v/>
      </c>
      <c r="J54" s="47">
        <v>10</v>
      </c>
      <c r="K54" s="12" t="str">
        <v/>
      </c>
      <c r="L54" s="12">
        <v>12</v>
      </c>
      <c r="M54" s="12" t="str">
        <v/>
      </c>
      <c r="N54" s="47">
        <v>12</v>
      </c>
      <c r="O54" s="12" t="str">
        <v/>
      </c>
      <c r="P54" s="12">
        <v>14</v>
      </c>
      <c r="Q54" s="12" t="str">
        <v/>
      </c>
      <c r="R54" s="47">
        <v>14</v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46</v>
      </c>
    </row>
    <row r="55" spans="1:27" ht="17" x14ac:dyDescent="0.2">
      <c r="A55" s="55" t="s">
        <v>7</v>
      </c>
      <c r="B55" s="53" t="str">
        <v>Mikedb__91__</v>
      </c>
      <c r="C55" s="12" t="str">
        <v/>
      </c>
      <c r="D55" s="12">
        <v>12</v>
      </c>
      <c r="E55" s="12" t="str">
        <v/>
      </c>
      <c r="F55" s="47">
        <v>12</v>
      </c>
      <c r="G55" s="12" t="str">
        <v/>
      </c>
      <c r="H55" s="12">
        <v>14</v>
      </c>
      <c r="I55" s="12" t="str">
        <v/>
      </c>
      <c r="J55" s="47">
        <v>14</v>
      </c>
      <c r="K55" s="20" t="str">
        <v/>
      </c>
      <c r="L55" s="20">
        <v>8</v>
      </c>
      <c r="M55" s="20" t="str">
        <v/>
      </c>
      <c r="N55" s="47">
        <v>8</v>
      </c>
      <c r="O55" s="12" t="str">
        <v/>
      </c>
      <c r="P55" s="12">
        <v>8</v>
      </c>
      <c r="Q55" s="12" t="str">
        <v/>
      </c>
      <c r="R55" s="47">
        <v>8</v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42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38</v>
      </c>
    </row>
    <row r="57" spans="1:27" ht="17" x14ac:dyDescent="0.2">
      <c r="A57" s="55" t="s">
        <v>9</v>
      </c>
      <c r="B57" s="57" t="str">
        <v>Dani_CT1946</v>
      </c>
      <c r="C57" s="12" t="str">
        <v/>
      </c>
      <c r="D57" s="12">
        <v>8</v>
      </c>
      <c r="E57" s="12" t="str">
        <v/>
      </c>
      <c r="F57" s="47">
        <v>8</v>
      </c>
      <c r="G57" s="12" t="str">
        <v/>
      </c>
      <c r="H57" s="12">
        <v>8</v>
      </c>
      <c r="I57" s="12" t="str">
        <v/>
      </c>
      <c r="J57" s="47">
        <v>8</v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>
        <v>10</v>
      </c>
      <c r="Q57" s="20" t="str">
        <v/>
      </c>
      <c r="R57" s="47">
        <v>10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26</v>
      </c>
    </row>
    <row r="58" spans="1:27" ht="17" x14ac:dyDescent="0.2">
      <c r="A58" s="55" t="s">
        <v>10</v>
      </c>
      <c r="B58" s="53" t="str">
        <v>Rikas78</v>
      </c>
      <c r="C58" s="20" t="str">
        <v/>
      </c>
      <c r="D58" s="20">
        <v>2</v>
      </c>
      <c r="E58" s="20" t="str">
        <v/>
      </c>
      <c r="F58" s="47">
        <v>2</v>
      </c>
      <c r="G58" s="12" t="str">
        <v/>
      </c>
      <c r="H58" s="12">
        <v>5</v>
      </c>
      <c r="I58" s="12" t="str">
        <v/>
      </c>
      <c r="J58" s="47">
        <v>5</v>
      </c>
      <c r="K58" s="12" t="str">
        <v/>
      </c>
      <c r="L58" s="12">
        <v>6</v>
      </c>
      <c r="M58" s="12" t="str">
        <v/>
      </c>
      <c r="N58" s="47">
        <v>6</v>
      </c>
      <c r="O58" s="12" t="str">
        <v/>
      </c>
      <c r="P58" s="12">
        <v>4</v>
      </c>
      <c r="Q58" s="12" t="str">
        <v/>
      </c>
      <c r="R58" s="47">
        <v>4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17</v>
      </c>
    </row>
    <row r="59" spans="1:27" ht="17" x14ac:dyDescent="0.2">
      <c r="A59" s="55" t="s">
        <v>11</v>
      </c>
      <c r="B59" s="53" t="str">
        <v>Costanzo-Mirko90</v>
      </c>
      <c r="C59" s="12" t="str">
        <v/>
      </c>
      <c r="D59" s="12">
        <v>4</v>
      </c>
      <c r="E59" s="12" t="str">
        <v/>
      </c>
      <c r="F59" s="47">
        <v>4</v>
      </c>
      <c r="G59" s="12" t="str">
        <v/>
      </c>
      <c r="H59" s="12">
        <v>2</v>
      </c>
      <c r="I59" s="12" t="str">
        <v/>
      </c>
      <c r="J59" s="47">
        <v>2</v>
      </c>
      <c r="K59" s="20" t="str">
        <v/>
      </c>
      <c r="L59" s="20">
        <v>5</v>
      </c>
      <c r="M59" s="20" t="str">
        <v/>
      </c>
      <c r="N59" s="47">
        <v>5</v>
      </c>
      <c r="O59" s="12" t="str">
        <v/>
      </c>
      <c r="P59" s="12">
        <v>5</v>
      </c>
      <c r="Q59" s="12" t="str">
        <v/>
      </c>
      <c r="R59" s="47">
        <v>5</v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mettiukc</v>
      </c>
      <c r="C60" s="49" t="str">
        <v/>
      </c>
      <c r="D60" s="20">
        <v>5</v>
      </c>
      <c r="E60" s="20" t="str">
        <v/>
      </c>
      <c r="F60" s="47">
        <v>5</v>
      </c>
      <c r="G60" s="12" t="str">
        <v/>
      </c>
      <c r="H60" s="12">
        <v>3</v>
      </c>
      <c r="I60" s="12" t="str">
        <v/>
      </c>
      <c r="J60" s="47">
        <v>3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>
        <v>6</v>
      </c>
      <c r="Q60" s="20" t="str">
        <v/>
      </c>
      <c r="R60" s="47">
        <v>6</v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14</v>
      </c>
    </row>
    <row r="61" spans="1:27" ht="17" x14ac:dyDescent="0.2">
      <c r="A61" s="55" t="s">
        <v>13</v>
      </c>
      <c r="B61" s="53" t="str">
        <v>recidivo92</v>
      </c>
      <c r="C61" s="20" t="str">
        <v/>
      </c>
      <c r="D61" s="20">
        <v>3</v>
      </c>
      <c r="E61" s="20" t="str">
        <v/>
      </c>
      <c r="F61" s="47">
        <v>3</v>
      </c>
      <c r="G61" s="12" t="str">
        <v/>
      </c>
      <c r="H61" s="12">
        <v>6</v>
      </c>
      <c r="I61" s="12" t="str">
        <v/>
      </c>
      <c r="J61" s="47">
        <v>6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9</v>
      </c>
    </row>
    <row r="62" spans="1:27" ht="17" x14ac:dyDescent="0.2">
      <c r="A62" s="55" t="s">
        <v>20</v>
      </c>
      <c r="B62" s="53" t="str">
        <v/>
      </c>
      <c r="C62" s="20" t="str">
        <v/>
      </c>
      <c r="D62" s="20" t="str">
        <v/>
      </c>
      <c r="E62" s="20" t="str">
        <v/>
      </c>
      <c r="F62" s="47" t="str">
        <v/>
      </c>
      <c r="G62" s="20" t="str">
        <v/>
      </c>
      <c r="H62" s="20" t="str">
        <v/>
      </c>
      <c r="I62" s="20" t="str">
        <v/>
      </c>
      <c r="J62" s="47" t="str">
        <v/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 t="str">
        <v/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107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102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96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95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80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74</v>
      </c>
    </row>
    <row r="74" spans="1:27" ht="17" x14ac:dyDescent="0.25">
      <c r="A74" s="28">
        <v>7</v>
      </c>
      <c r="B74" s="29" t="str">
        <v>TLM_SKIZZO 34</v>
      </c>
      <c r="C74" s="12" t="str">
        <v/>
      </c>
      <c r="D74" s="12">
        <v>16</v>
      </c>
      <c r="E74" s="12" t="str">
        <v/>
      </c>
      <c r="F74" s="47">
        <v>16</v>
      </c>
      <c r="G74" s="12" t="str">
        <v/>
      </c>
      <c r="H74" s="12">
        <v>18</v>
      </c>
      <c r="I74" s="12" t="str">
        <v/>
      </c>
      <c r="J74" s="47">
        <v>18</v>
      </c>
      <c r="K74" s="12" t="str">
        <v/>
      </c>
      <c r="L74" s="12">
        <v>18</v>
      </c>
      <c r="M74" s="12">
        <v>1</v>
      </c>
      <c r="N74" s="47">
        <v>19</v>
      </c>
      <c r="O74" s="12" t="str">
        <v/>
      </c>
      <c r="P74" s="12">
        <v>14</v>
      </c>
      <c r="Q74" s="12" t="str">
        <v/>
      </c>
      <c r="R74" s="47">
        <v>14</v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67</v>
      </c>
    </row>
    <row r="75" spans="1:27" ht="17" x14ac:dyDescent="0.25">
      <c r="A75" s="28">
        <v>8</v>
      </c>
      <c r="B75" s="29" t="str">
        <v>andvea_99</v>
      </c>
      <c r="C75" s="43" t="str">
        <v/>
      </c>
      <c r="D75" s="43" t="str">
        <v/>
      </c>
      <c r="E75" s="43" t="str">
        <v/>
      </c>
      <c r="F75" s="48" t="str">
        <v/>
      </c>
      <c r="G75" s="43" t="str">
        <v/>
      </c>
      <c r="H75" s="43">
        <v>20</v>
      </c>
      <c r="I75" s="43" t="str">
        <v/>
      </c>
      <c r="J75" s="48">
        <v>20</v>
      </c>
      <c r="K75" s="43" t="str">
        <v/>
      </c>
      <c r="L75" s="43">
        <v>20</v>
      </c>
      <c r="M75" s="43" t="str">
        <v/>
      </c>
      <c r="N75" s="48">
        <v>20</v>
      </c>
      <c r="O75" s="35" t="str">
        <v/>
      </c>
      <c r="P75" s="35">
        <v>25</v>
      </c>
      <c r="Q75" s="35">
        <v>1</v>
      </c>
      <c r="R75" s="48">
        <v>26</v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66</v>
      </c>
    </row>
    <row r="76" spans="1:27" ht="17" x14ac:dyDescent="0.25">
      <c r="A76" s="28">
        <v>9</v>
      </c>
      <c r="B76" s="30" t="str">
        <v>TLM_Kappa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10</v>
      </c>
      <c r="I76" s="12" t="str">
        <v/>
      </c>
      <c r="J76" s="47">
        <v>10</v>
      </c>
      <c r="K76" s="12" t="str">
        <v/>
      </c>
      <c r="L76" s="12">
        <v>18</v>
      </c>
      <c r="M76" s="12" t="str">
        <v/>
      </c>
      <c r="N76" s="47">
        <v>18</v>
      </c>
      <c r="O76" s="12" t="str">
        <v/>
      </c>
      <c r="P76" s="12">
        <v>18</v>
      </c>
      <c r="Q76" s="12" t="str">
        <v/>
      </c>
      <c r="R76" s="47">
        <v>18</v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66</v>
      </c>
    </row>
    <row r="77" spans="1:27" ht="17" x14ac:dyDescent="0.25">
      <c r="A77" s="28">
        <v>10</v>
      </c>
      <c r="B77" s="29" t="str">
        <v>TLM_wid83</v>
      </c>
      <c r="C77" s="12" t="str">
        <v/>
      </c>
      <c r="D77" s="12">
        <v>18</v>
      </c>
      <c r="E77" s="12" t="str">
        <v/>
      </c>
      <c r="F77" s="47">
        <v>18</v>
      </c>
      <c r="G77" s="12" t="str">
        <v/>
      </c>
      <c r="H77" s="12">
        <v>12</v>
      </c>
      <c r="I77" s="12" t="str">
        <v/>
      </c>
      <c r="J77" s="47">
        <v>12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>
        <v>20</v>
      </c>
      <c r="Q77" s="12" t="str">
        <v/>
      </c>
      <c r="R77" s="47">
        <v>20</v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66</v>
      </c>
    </row>
    <row r="78" spans="1:27" ht="17" x14ac:dyDescent="0.25">
      <c r="A78" s="28">
        <v>11</v>
      </c>
      <c r="B78" s="29" t="str">
        <v>Buitre83GT</v>
      </c>
      <c r="C78" s="49" t="str">
        <v/>
      </c>
      <c r="D78" s="20">
        <v>14</v>
      </c>
      <c r="E78" s="20" t="str">
        <v/>
      </c>
      <c r="F78" s="47">
        <v>14</v>
      </c>
      <c r="G78" s="12">
        <v>1</v>
      </c>
      <c r="H78" s="12">
        <v>18</v>
      </c>
      <c r="I78" s="12" t="str">
        <v/>
      </c>
      <c r="J78" s="47">
        <v>19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>
        <v>16</v>
      </c>
      <c r="Q78" s="20" t="str">
        <v/>
      </c>
      <c r="R78" s="47">
        <v>16</v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65</v>
      </c>
    </row>
    <row r="79" spans="1:27" ht="17" x14ac:dyDescent="0.25">
      <c r="A79" s="28">
        <v>12</v>
      </c>
      <c r="B79" s="29" t="str">
        <v>X-Gianni-</v>
      </c>
      <c r="C79" s="20" t="str">
        <v/>
      </c>
      <c r="D79" s="20">
        <v>18</v>
      </c>
      <c r="E79" s="20" t="str">
        <v/>
      </c>
      <c r="F79" s="47">
        <v>18</v>
      </c>
      <c r="G79" s="12" t="str">
        <v/>
      </c>
      <c r="H79" s="12">
        <v>12</v>
      </c>
      <c r="I79" s="12" t="str">
        <v/>
      </c>
      <c r="J79" s="47">
        <v>12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>
        <v>20</v>
      </c>
      <c r="Q79" s="20" t="str">
        <v/>
      </c>
      <c r="R79" s="47">
        <v>20</v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64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59</v>
      </c>
    </row>
    <row r="81" spans="1:27" ht="17" x14ac:dyDescent="0.25">
      <c r="A81" s="28">
        <v>14</v>
      </c>
      <c r="B81" s="29" t="str">
        <v>RMT_GEFF-21</v>
      </c>
      <c r="C81" s="20" t="str">
        <v/>
      </c>
      <c r="D81" s="20">
        <v>14</v>
      </c>
      <c r="E81" s="20" t="str">
        <v/>
      </c>
      <c r="F81" s="47">
        <v>14</v>
      </c>
      <c r="G81" s="20" t="str">
        <v/>
      </c>
      <c r="H81" s="20">
        <v>16</v>
      </c>
      <c r="I81" s="20" t="str">
        <v/>
      </c>
      <c r="J81" s="47">
        <v>16</v>
      </c>
      <c r="K81" s="20" t="str">
        <v/>
      </c>
      <c r="L81" s="20">
        <v>10</v>
      </c>
      <c r="M81" s="20" t="str">
        <v/>
      </c>
      <c r="N81" s="47">
        <v>10</v>
      </c>
      <c r="O81" s="12" t="str">
        <v/>
      </c>
      <c r="P81" s="12">
        <v>18</v>
      </c>
      <c r="Q81" s="12" t="str">
        <v/>
      </c>
      <c r="R81" s="47">
        <v>18</v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58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14</v>
      </c>
      <c r="Q82" s="20" t="str">
        <v/>
      </c>
      <c r="R82" s="47">
        <v>14</v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56</v>
      </c>
    </row>
    <row r="83" spans="1:27" ht="17" x14ac:dyDescent="0.25">
      <c r="A83" s="28">
        <v>16</v>
      </c>
      <c r="B83" s="30" t="str">
        <v>GTRC_Frenkmik93</v>
      </c>
      <c r="C83" s="12" t="str">
        <v/>
      </c>
      <c r="D83" s="12">
        <v>12</v>
      </c>
      <c r="E83" s="12">
        <v>1</v>
      </c>
      <c r="F83" s="47">
        <v>13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>
        <v>12</v>
      </c>
      <c r="M83" s="12" t="str">
        <v/>
      </c>
      <c r="N83" s="47">
        <v>12</v>
      </c>
      <c r="O83" s="12" t="str">
        <v/>
      </c>
      <c r="P83" s="12">
        <v>18</v>
      </c>
      <c r="Q83" s="12" t="str">
        <v/>
      </c>
      <c r="R83" s="47">
        <v>18</v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55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>
        <v>1</v>
      </c>
      <c r="P84" s="12">
        <v>12</v>
      </c>
      <c r="Q84" s="12" t="str">
        <v/>
      </c>
      <c r="R84" s="47">
        <v>13</v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54</v>
      </c>
    </row>
    <row r="85" spans="1:27" ht="17" x14ac:dyDescent="0.25">
      <c r="A85" s="28">
        <v>18</v>
      </c>
      <c r="B85" s="29" t="str">
        <v>CORNAZZAI73</v>
      </c>
      <c r="C85" s="12" t="str">
        <v/>
      </c>
      <c r="D85" s="12">
        <v>16</v>
      </c>
      <c r="E85" s="12" t="str">
        <v/>
      </c>
      <c r="F85" s="47">
        <v>16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14</v>
      </c>
      <c r="M85" s="12" t="str">
        <v/>
      </c>
      <c r="N85" s="47">
        <v>14</v>
      </c>
      <c r="O85" s="12" t="str">
        <v/>
      </c>
      <c r="P85" s="12">
        <v>6</v>
      </c>
      <c r="Q85" s="12" t="str">
        <v/>
      </c>
      <c r="R85" s="47">
        <v>6</v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50</v>
      </c>
    </row>
    <row r="86" spans="1:27" ht="17" x14ac:dyDescent="0.25">
      <c r="A86" s="28">
        <v>19</v>
      </c>
      <c r="B86" s="29" t="str">
        <v>xRUA85x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14</v>
      </c>
      <c r="M86" s="12" t="str">
        <v/>
      </c>
      <c r="N86" s="47">
        <v>14</v>
      </c>
      <c r="O86" s="49" t="str">
        <v/>
      </c>
      <c r="P86" s="20">
        <v>8</v>
      </c>
      <c r="Q86" s="20" t="str">
        <v/>
      </c>
      <c r="R86" s="47">
        <v>8</v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50</v>
      </c>
    </row>
    <row r="87" spans="1:27" ht="17" x14ac:dyDescent="0.25">
      <c r="A87" s="28">
        <v>20</v>
      </c>
      <c r="B87" s="29" t="str">
        <v>Silentium884</v>
      </c>
      <c r="C87" s="12" t="str">
        <v/>
      </c>
      <c r="D87" s="12">
        <v>16</v>
      </c>
      <c r="E87" s="12" t="str">
        <v/>
      </c>
      <c r="F87" s="47">
        <v>16</v>
      </c>
      <c r="G87" s="12" t="str">
        <v/>
      </c>
      <c r="H87" s="12" t="str">
        <v/>
      </c>
      <c r="I87" s="12" t="str">
        <v/>
      </c>
      <c r="J87" s="47" t="str">
        <v/>
      </c>
      <c r="K87" s="12" t="str">
        <v/>
      </c>
      <c r="L87" s="12">
        <v>18</v>
      </c>
      <c r="M87" s="12" t="str">
        <v/>
      </c>
      <c r="N87" s="47">
        <v>18</v>
      </c>
      <c r="O87" s="12" t="str">
        <v/>
      </c>
      <c r="P87" s="12">
        <v>16</v>
      </c>
      <c r="Q87" s="12" t="str">
        <v/>
      </c>
      <c r="R87" s="47">
        <v>16</v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50</v>
      </c>
    </row>
    <row r="88" spans="1:27" ht="17" x14ac:dyDescent="0.25">
      <c r="A88" s="28">
        <v>21</v>
      </c>
      <c r="B88" s="29" t="str">
        <v>TheGuarny</v>
      </c>
      <c r="C88" s="33" t="str">
        <v/>
      </c>
      <c r="D88" s="33">
        <v>20</v>
      </c>
      <c r="E88" s="33" t="str">
        <v/>
      </c>
      <c r="F88" s="51">
        <v>20</v>
      </c>
      <c r="G88" s="33" t="str">
        <v/>
      </c>
      <c r="H88" s="33">
        <v>14</v>
      </c>
      <c r="I88" s="33" t="str">
        <v/>
      </c>
      <c r="J88" s="51">
        <v>14</v>
      </c>
      <c r="K88" s="32" t="str">
        <v/>
      </c>
      <c r="L88" s="32">
        <v>14</v>
      </c>
      <c r="M88" s="32" t="str">
        <v/>
      </c>
      <c r="N88" s="51">
        <v>14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48</v>
      </c>
    </row>
    <row r="89" spans="1:27" ht="17" x14ac:dyDescent="0.25">
      <c r="A89" s="28">
        <v>22</v>
      </c>
      <c r="B89" s="29" t="str">
        <v>Tonyroto74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>
        <v>12</v>
      </c>
      <c r="M89" s="12" t="str">
        <v/>
      </c>
      <c r="N89" s="47">
        <v>12</v>
      </c>
      <c r="O89" s="12" t="str">
        <v/>
      </c>
      <c r="P89" s="12">
        <v>14</v>
      </c>
      <c r="Q89" s="12" t="str">
        <v/>
      </c>
      <c r="R89" s="47">
        <v>14</v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46</v>
      </c>
    </row>
    <row r="90" spans="1:27" ht="17" x14ac:dyDescent="0.25">
      <c r="A90" s="28">
        <v>23</v>
      </c>
      <c r="B90" s="30" t="str">
        <v>TLM_Sicily22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18</v>
      </c>
      <c r="I90" s="43" t="str">
        <v/>
      </c>
      <c r="J90" s="48">
        <v>18</v>
      </c>
      <c r="K90" s="43" t="str">
        <v/>
      </c>
      <c r="L90" s="43">
        <v>12</v>
      </c>
      <c r="M90" s="43" t="str">
        <v/>
      </c>
      <c r="N90" s="48">
        <v>12</v>
      </c>
      <c r="O90" s="35" t="str">
        <v/>
      </c>
      <c r="P90" s="35">
        <v>12</v>
      </c>
      <c r="Q90" s="35" t="str">
        <v/>
      </c>
      <c r="R90" s="48">
        <v>12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42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>
        <v>8</v>
      </c>
      <c r="Q91" s="12" t="str">
        <v/>
      </c>
      <c r="R91" s="47">
        <v>8</v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42</v>
      </c>
    </row>
    <row r="92" spans="1:27" ht="17" x14ac:dyDescent="0.25">
      <c r="A92" s="28">
        <v>25</v>
      </c>
      <c r="B92" s="29" t="str">
        <v>Mikedb__91__</v>
      </c>
      <c r="C92" s="12" t="str">
        <v/>
      </c>
      <c r="D92" s="12">
        <v>12</v>
      </c>
      <c r="E92" s="12" t="str">
        <v/>
      </c>
      <c r="F92" s="47">
        <v>12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8</v>
      </c>
      <c r="M92" s="20" t="str">
        <v/>
      </c>
      <c r="N92" s="47">
        <v>8</v>
      </c>
      <c r="O92" s="12" t="str">
        <v/>
      </c>
      <c r="P92" s="12">
        <v>8</v>
      </c>
      <c r="Q92" s="12" t="str">
        <v/>
      </c>
      <c r="R92" s="47">
        <v>8</v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42</v>
      </c>
    </row>
    <row r="93" spans="1:27" ht="17" x14ac:dyDescent="0.25">
      <c r="A93" s="28">
        <v>26</v>
      </c>
      <c r="B93" s="29" t="str">
        <v>TLM_michaelfox12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12</v>
      </c>
      <c r="I93" s="12" t="str">
        <v/>
      </c>
      <c r="J93" s="47">
        <v>12</v>
      </c>
      <c r="K93" s="12" t="str">
        <v/>
      </c>
      <c r="L93" s="12">
        <v>16</v>
      </c>
      <c r="M93" s="12" t="str">
        <v/>
      </c>
      <c r="N93" s="47">
        <v>16</v>
      </c>
      <c r="O93" s="20" t="str">
        <v/>
      </c>
      <c r="P93" s="20">
        <v>5</v>
      </c>
      <c r="Q93" s="20" t="str">
        <v/>
      </c>
      <c r="R93" s="47">
        <v>5</v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39</v>
      </c>
    </row>
    <row r="94" spans="1:27" ht="17" x14ac:dyDescent="0.25">
      <c r="A94" s="28">
        <v>27</v>
      </c>
      <c r="B94" s="29" t="str">
        <v>jet_morello</v>
      </c>
      <c r="C94" s="20" t="str">
        <v/>
      </c>
      <c r="D94" s="20">
        <v>12</v>
      </c>
      <c r="E94" s="20" t="str">
        <v/>
      </c>
      <c r="F94" s="47">
        <v>12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16</v>
      </c>
      <c r="Q94" s="20" t="str">
        <v/>
      </c>
      <c r="R94" s="47">
        <v>16</v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38</v>
      </c>
    </row>
    <row r="95" spans="1:27" ht="17" x14ac:dyDescent="0.25">
      <c r="A95" s="28">
        <v>28</v>
      </c>
      <c r="B95" s="29" t="str">
        <v>Dimaaa66</v>
      </c>
      <c r="C95" s="20" t="str">
        <v/>
      </c>
      <c r="D95" s="20">
        <v>6</v>
      </c>
      <c r="E95" s="20" t="str">
        <v/>
      </c>
      <c r="F95" s="47">
        <v>6</v>
      </c>
      <c r="G95" s="20" t="str">
        <v/>
      </c>
      <c r="H95" s="20">
        <v>4</v>
      </c>
      <c r="I95" s="20" t="str">
        <v/>
      </c>
      <c r="J95" s="47">
        <v>4</v>
      </c>
      <c r="K95" s="20" t="str">
        <v/>
      </c>
      <c r="L95" s="20">
        <v>10</v>
      </c>
      <c r="M95" s="20" t="str">
        <v/>
      </c>
      <c r="N95" s="47">
        <v>10</v>
      </c>
      <c r="O95" s="12" t="str">
        <v/>
      </c>
      <c r="P95" s="12">
        <v>18</v>
      </c>
      <c r="Q95" s="12" t="str">
        <v/>
      </c>
      <c r="R95" s="47">
        <v>18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38</v>
      </c>
    </row>
    <row r="96" spans="1:27" ht="17" x14ac:dyDescent="0.25">
      <c r="A96" s="28">
        <v>29</v>
      </c>
      <c r="B96" s="29" t="str">
        <v>Bobgre93</v>
      </c>
      <c r="C96" s="20" t="str">
        <v/>
      </c>
      <c r="D96" s="20">
        <v>20</v>
      </c>
      <c r="E96" s="20" t="str">
        <v/>
      </c>
      <c r="F96" s="47">
        <v>20</v>
      </c>
      <c r="G96" s="20" t="str">
        <v/>
      </c>
      <c r="H96" s="20">
        <v>16</v>
      </c>
      <c r="I96" s="20" t="str">
        <v/>
      </c>
      <c r="J96" s="47">
        <v>16</v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36</v>
      </c>
    </row>
    <row r="97" spans="1:27" ht="17" x14ac:dyDescent="0.25">
      <c r="A97" s="28">
        <v>30</v>
      </c>
      <c r="B97" s="29" t="str">
        <v>Talsigiano</v>
      </c>
      <c r="C97" s="12" t="str">
        <v/>
      </c>
      <c r="D97" s="12">
        <v>5</v>
      </c>
      <c r="E97" s="12" t="str">
        <v/>
      </c>
      <c r="F97" s="47">
        <v>5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>
        <v>10</v>
      </c>
      <c r="Q97" s="20" t="str">
        <v/>
      </c>
      <c r="R97" s="47">
        <v>10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31</v>
      </c>
    </row>
    <row r="98" spans="1:27" ht="17" x14ac:dyDescent="0.25">
      <c r="A98" s="28">
        <v>31</v>
      </c>
      <c r="B98" s="29" t="str">
        <v>Stefanostefanof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5</v>
      </c>
      <c r="I98" s="12" t="str">
        <v/>
      </c>
      <c r="J98" s="47">
        <v>5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>
        <v>14</v>
      </c>
      <c r="Q98" s="12" t="str">
        <v/>
      </c>
      <c r="R98" s="47">
        <v>14</v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29</v>
      </c>
    </row>
    <row r="99" spans="1:27" ht="17" x14ac:dyDescent="0.25">
      <c r="A99" s="28">
        <v>32</v>
      </c>
      <c r="B99" s="29" t="str">
        <v>madonte</v>
      </c>
      <c r="C99" s="12" t="str">
        <v/>
      </c>
      <c r="D99" s="12">
        <v>10</v>
      </c>
      <c r="E99" s="12" t="str">
        <v/>
      </c>
      <c r="F99" s="47">
        <v>10</v>
      </c>
      <c r="G99" s="12" t="str">
        <v/>
      </c>
      <c r="H99" s="12">
        <v>6</v>
      </c>
      <c r="I99" s="12" t="str">
        <v/>
      </c>
      <c r="J99" s="47">
        <v>6</v>
      </c>
      <c r="K99" s="12" t="str">
        <v/>
      </c>
      <c r="L99" s="12">
        <v>12</v>
      </c>
      <c r="M99" s="12" t="str">
        <v/>
      </c>
      <c r="N99" s="47">
        <v>12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28</v>
      </c>
    </row>
    <row r="100" spans="1:27" ht="17" x14ac:dyDescent="0.25">
      <c r="A100" s="28">
        <v>33</v>
      </c>
      <c r="B100" s="29" t="str">
        <v>Cjcerbola</v>
      </c>
      <c r="C100" s="12" t="str">
        <v/>
      </c>
      <c r="D100" s="12">
        <v>6</v>
      </c>
      <c r="E100" s="12" t="str">
        <v/>
      </c>
      <c r="F100" s="47">
        <v>6</v>
      </c>
      <c r="G100" s="12" t="str">
        <v/>
      </c>
      <c r="H100" s="12">
        <v>5</v>
      </c>
      <c r="I100" s="12" t="str">
        <v/>
      </c>
      <c r="J100" s="47">
        <v>5</v>
      </c>
      <c r="K100" s="12" t="str">
        <v/>
      </c>
      <c r="L100" s="12">
        <v>5</v>
      </c>
      <c r="M100" s="12" t="str">
        <v/>
      </c>
      <c r="N100" s="47">
        <v>5</v>
      </c>
      <c r="O100" s="12" t="str">
        <v/>
      </c>
      <c r="P100" s="12">
        <v>12</v>
      </c>
      <c r="Q100" s="12" t="str">
        <v/>
      </c>
      <c r="R100" s="47">
        <v>12</v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28</v>
      </c>
    </row>
    <row r="101" spans="1:27" ht="17" x14ac:dyDescent="0.25">
      <c r="A101" s="28">
        <v>34</v>
      </c>
      <c r="B101" s="29" t="str">
        <v>Dani_CT1946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>
        <v>10</v>
      </c>
      <c r="Q101" s="12" t="str">
        <v/>
      </c>
      <c r="R101" s="47">
        <v>10</v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26</v>
      </c>
    </row>
    <row r="102" spans="1:27" ht="17" x14ac:dyDescent="0.25">
      <c r="A102" s="28">
        <v>35</v>
      </c>
      <c r="B102" s="29" t="str">
        <v>Assemazz</v>
      </c>
      <c r="C102" s="12" t="str">
        <v/>
      </c>
      <c r="D102" s="12">
        <v>5</v>
      </c>
      <c r="E102" s="12" t="str">
        <v/>
      </c>
      <c r="F102" s="47">
        <v>5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6</v>
      </c>
      <c r="M102" s="12" t="str">
        <v/>
      </c>
      <c r="N102" s="47">
        <v>6</v>
      </c>
      <c r="O102" s="12" t="str">
        <v/>
      </c>
      <c r="P102" s="12">
        <v>10</v>
      </c>
      <c r="Q102" s="12" t="str">
        <v/>
      </c>
      <c r="R102" s="47">
        <v>10</v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25</v>
      </c>
    </row>
    <row r="103" spans="1:27" ht="18" x14ac:dyDescent="0.25">
      <c r="A103" s="28">
        <v>36</v>
      </c>
      <c r="B103" s="58" t="str">
        <v>Liotru1979</v>
      </c>
      <c r="C103" s="12" t="str">
        <v/>
      </c>
      <c r="D103" s="12">
        <v>8</v>
      </c>
      <c r="E103" s="12" t="str">
        <v/>
      </c>
      <c r="F103" s="47">
        <v>8</v>
      </c>
      <c r="G103" s="12" t="str">
        <v/>
      </c>
      <c r="H103" s="12">
        <v>8</v>
      </c>
      <c r="I103" s="12" t="str">
        <v/>
      </c>
      <c r="J103" s="47">
        <v>8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8</v>
      </c>
      <c r="Q103" s="20" t="str">
        <v/>
      </c>
      <c r="R103" s="47">
        <v>8</v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24</v>
      </c>
    </row>
    <row r="104" spans="1:27" ht="17" x14ac:dyDescent="0.25">
      <c r="A104" s="28">
        <v>37</v>
      </c>
      <c r="B104" s="29" t="str">
        <v>GTRC-ALERASATO74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>
        <v>5</v>
      </c>
      <c r="M104" s="12" t="str">
        <v/>
      </c>
      <c r="N104" s="47">
        <v>5</v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21</v>
      </c>
    </row>
    <row r="105" spans="1:27" ht="17" x14ac:dyDescent="0.25">
      <c r="A105" s="28">
        <v>38</v>
      </c>
      <c r="B105" s="29" t="str">
        <v>jack-187-jack</v>
      </c>
      <c r="C105" s="12" t="str">
        <v/>
      </c>
      <c r="D105" s="12">
        <v>4</v>
      </c>
      <c r="E105" s="12" t="str">
        <v/>
      </c>
      <c r="F105" s="47">
        <v>4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10</v>
      </c>
      <c r="M105" s="20" t="str">
        <v/>
      </c>
      <c r="N105" s="47">
        <v>10</v>
      </c>
      <c r="O105" s="12" t="str">
        <v/>
      </c>
      <c r="P105" s="12">
        <v>3</v>
      </c>
      <c r="Q105" s="12" t="str">
        <v/>
      </c>
      <c r="R105" s="47">
        <v>3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21</v>
      </c>
    </row>
    <row r="106" spans="1:27" ht="17" x14ac:dyDescent="0.25">
      <c r="A106" s="28">
        <v>39</v>
      </c>
      <c r="B106" s="29" t="str">
        <v>Isnotacrime</v>
      </c>
      <c r="C106" s="12" t="str">
        <v/>
      </c>
      <c r="D106" s="12">
        <v>3</v>
      </c>
      <c r="E106" s="12" t="str">
        <v/>
      </c>
      <c r="F106" s="47">
        <v>3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6</v>
      </c>
      <c r="M106" s="12" t="str">
        <v/>
      </c>
      <c r="N106" s="47">
        <v>6</v>
      </c>
      <c r="O106" s="12" t="str">
        <v/>
      </c>
      <c r="P106" s="12">
        <v>10</v>
      </c>
      <c r="Q106" s="12" t="str">
        <v/>
      </c>
      <c r="R106" s="47">
        <v>10</v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19</v>
      </c>
    </row>
    <row r="107" spans="1:27" ht="17" x14ac:dyDescent="0.25">
      <c r="A107" s="28">
        <v>40</v>
      </c>
      <c r="B107" s="29" t="str">
        <v>TLM_CaLiGoLa</v>
      </c>
      <c r="C107" s="43" t="str">
        <v/>
      </c>
      <c r="D107" s="43">
        <v>5</v>
      </c>
      <c r="E107" s="43" t="str">
        <v/>
      </c>
      <c r="F107" s="48">
        <v>5</v>
      </c>
      <c r="G107" s="43" t="str">
        <v/>
      </c>
      <c r="H107" s="43" t="str">
        <v/>
      </c>
      <c r="I107" s="43" t="str">
        <v/>
      </c>
      <c r="J107" s="48" t="str">
        <v/>
      </c>
      <c r="K107" s="43" t="str">
        <v/>
      </c>
      <c r="L107" s="43">
        <v>8</v>
      </c>
      <c r="M107" s="43" t="str">
        <v/>
      </c>
      <c r="N107" s="48">
        <v>8</v>
      </c>
      <c r="O107" s="35" t="str">
        <v/>
      </c>
      <c r="P107" s="35">
        <v>6</v>
      </c>
      <c r="Q107" s="35" t="str">
        <v/>
      </c>
      <c r="R107" s="48">
        <v>6</v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19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17</v>
      </c>
    </row>
    <row r="109" spans="1:27" ht="17" x14ac:dyDescent="0.25">
      <c r="A109" s="28">
        <v>42</v>
      </c>
      <c r="B109" s="29" t="str">
        <v>Rikas78</v>
      </c>
      <c r="C109" s="12" t="str">
        <v/>
      </c>
      <c r="D109" s="12">
        <v>2</v>
      </c>
      <c r="E109" s="12" t="str">
        <v/>
      </c>
      <c r="F109" s="47">
        <v>2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4</v>
      </c>
      <c r="Q109" s="12" t="str">
        <v/>
      </c>
      <c r="R109" s="47">
        <v>4</v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17</v>
      </c>
    </row>
    <row r="110" spans="1:27" ht="17" x14ac:dyDescent="0.25">
      <c r="A110" s="28">
        <v>43</v>
      </c>
      <c r="B110" s="29" t="str">
        <v>Selpa974</v>
      </c>
      <c r="C110" s="49" t="str">
        <v/>
      </c>
      <c r="D110" s="20">
        <v>16</v>
      </c>
      <c r="E110" s="20" t="str">
        <v/>
      </c>
      <c r="F110" s="47">
        <v>16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16</v>
      </c>
    </row>
    <row r="111" spans="1:27" ht="17" x14ac:dyDescent="0.25">
      <c r="A111" s="28">
        <v>44</v>
      </c>
      <c r="B111" s="29" t="str">
        <v>Costanzo-Mirko90</v>
      </c>
      <c r="C111" s="20" t="str">
        <v/>
      </c>
      <c r="D111" s="20">
        <v>4</v>
      </c>
      <c r="E111" s="20" t="str">
        <v/>
      </c>
      <c r="F111" s="47">
        <v>4</v>
      </c>
      <c r="G111" s="12" t="str">
        <v/>
      </c>
      <c r="H111" s="12">
        <v>2</v>
      </c>
      <c r="I111" s="12" t="str">
        <v/>
      </c>
      <c r="J111" s="47">
        <v>2</v>
      </c>
      <c r="K111" s="20" t="str">
        <v/>
      </c>
      <c r="L111" s="20">
        <v>5</v>
      </c>
      <c r="M111" s="20" t="str">
        <v/>
      </c>
      <c r="N111" s="47">
        <v>5</v>
      </c>
      <c r="O111" s="20" t="str">
        <v/>
      </c>
      <c r="P111" s="20">
        <v>5</v>
      </c>
      <c r="Q111" s="20" t="str">
        <v/>
      </c>
      <c r="R111" s="47">
        <v>5</v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16</v>
      </c>
    </row>
    <row r="112" spans="1:27" ht="17" x14ac:dyDescent="0.25">
      <c r="A112" s="28">
        <v>45</v>
      </c>
      <c r="B112" s="29" t="str">
        <v>Mancinelli2002</v>
      </c>
      <c r="C112" s="20" t="str">
        <v/>
      </c>
      <c r="D112" s="20">
        <v>2</v>
      </c>
      <c r="E112" s="20" t="str">
        <v/>
      </c>
      <c r="F112" s="47">
        <v>2</v>
      </c>
      <c r="G112" s="20" t="str">
        <v/>
      </c>
      <c r="H112" s="20">
        <v>3</v>
      </c>
      <c r="I112" s="20" t="str">
        <v/>
      </c>
      <c r="J112" s="47">
        <v>3</v>
      </c>
      <c r="K112" s="20" t="str">
        <v/>
      </c>
      <c r="L112" s="20">
        <v>6</v>
      </c>
      <c r="M112" s="20" t="str">
        <v/>
      </c>
      <c r="N112" s="47">
        <v>6</v>
      </c>
      <c r="O112" s="12" t="str">
        <v/>
      </c>
      <c r="P112" s="12">
        <v>4</v>
      </c>
      <c r="Q112" s="12" t="str">
        <v/>
      </c>
      <c r="R112" s="47">
        <v>4</v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15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15</v>
      </c>
    </row>
    <row r="114" spans="1:27" ht="17" x14ac:dyDescent="0.25">
      <c r="A114" s="28">
        <v>47</v>
      </c>
      <c r="B114" s="29" t="str">
        <v>TeoDaniricky2000</v>
      </c>
      <c r="C114" s="12" t="str">
        <v/>
      </c>
      <c r="D114" s="12">
        <v>4</v>
      </c>
      <c r="E114" s="12" t="str">
        <v/>
      </c>
      <c r="F114" s="47">
        <v>4</v>
      </c>
      <c r="G114" s="20" t="str">
        <v/>
      </c>
      <c r="H114" s="20">
        <v>6</v>
      </c>
      <c r="I114" s="20" t="str">
        <v/>
      </c>
      <c r="J114" s="47">
        <v>6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4</v>
      </c>
      <c r="Q114" s="20" t="str">
        <v/>
      </c>
      <c r="R114" s="47">
        <v>4</v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14</v>
      </c>
    </row>
    <row r="115" spans="1:27" ht="17" x14ac:dyDescent="0.25">
      <c r="A115" s="28">
        <v>48</v>
      </c>
      <c r="B115" s="30" t="str">
        <v>mettiukc</v>
      </c>
      <c r="C115" s="12" t="str">
        <v/>
      </c>
      <c r="D115" s="12">
        <v>5</v>
      </c>
      <c r="E115" s="12" t="str">
        <v/>
      </c>
      <c r="F115" s="47">
        <v>5</v>
      </c>
      <c r="G115" s="12" t="str">
        <v/>
      </c>
      <c r="H115" s="12">
        <v>3</v>
      </c>
      <c r="I115" s="12" t="str">
        <v/>
      </c>
      <c r="J115" s="47">
        <v>3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>
        <v>6</v>
      </c>
      <c r="Q115" s="12" t="str">
        <v/>
      </c>
      <c r="R115" s="47">
        <v>6</v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14</v>
      </c>
    </row>
    <row r="116" spans="1:27" ht="17" x14ac:dyDescent="0.25">
      <c r="A116" s="28">
        <v>49</v>
      </c>
      <c r="B116" s="29" t="str">
        <v>Blokkobubbles</v>
      </c>
      <c r="C116" s="12" t="str">
        <v/>
      </c>
      <c r="D116" s="12">
        <v>6</v>
      </c>
      <c r="E116" s="12" t="str">
        <v/>
      </c>
      <c r="F116" s="47">
        <v>6</v>
      </c>
      <c r="G116" s="12" t="str">
        <v/>
      </c>
      <c r="H116" s="12">
        <v>5</v>
      </c>
      <c r="I116" s="12" t="str">
        <v/>
      </c>
      <c r="J116" s="47">
        <v>5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11</v>
      </c>
    </row>
    <row r="117" spans="1:27" ht="17" x14ac:dyDescent="0.25">
      <c r="A117" s="28">
        <v>50</v>
      </c>
      <c r="B117" s="29" t="str">
        <v>recidivo92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6</v>
      </c>
      <c r="I117" s="12" t="str">
        <v/>
      </c>
      <c r="J117" s="47">
        <v>6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9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>Patanel86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377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102</v>
      </c>
    </row>
    <row r="7" spans="1:29" ht="20" customHeight="1" x14ac:dyDescent="0.2">
      <c r="A7" s="86" t="s">
        <v>3</v>
      </c>
      <c r="B7" s="84" t="str">
        <f>'CLASSIFICA ORDINATA'!B6</f>
        <v>andvea_99</v>
      </c>
      <c r="C7" s="84" t="str">
        <f>VLOOKUP(B7,nomi!B:C,2,FALSE)</f>
        <v>TLM_andvea99</v>
      </c>
      <c r="D7" s="84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96" t="str">
        <f>'CLASSIFICA ORDINATA'!F6</f>
        <v/>
      </c>
      <c r="I7" s="12" t="str">
        <f>'CLASSIFICA ORDINATA'!G6</f>
        <v/>
      </c>
      <c r="J7" s="12">
        <f>'CLASSIFICA ORDINATA'!H6</f>
        <v>20</v>
      </c>
      <c r="K7" s="12" t="str">
        <f>'CLASSIFICA ORDINATA'!I6</f>
        <v/>
      </c>
      <c r="L7" s="96">
        <f>'CLASSIFICA ORDINATA'!J6</f>
        <v>20</v>
      </c>
      <c r="M7" s="12" t="str">
        <f>'CLASSIFICA ORDINATA'!K6</f>
        <v/>
      </c>
      <c r="N7" s="12">
        <f>'CLASSIFICA ORDINATA'!L6</f>
        <v>20</v>
      </c>
      <c r="O7" s="12" t="str">
        <f>'CLASSIFICA ORDINATA'!M6</f>
        <v/>
      </c>
      <c r="P7" s="96">
        <f>'CLASSIFICA ORDINATA'!N6</f>
        <v>20</v>
      </c>
      <c r="Q7" s="12" t="str">
        <f>'CLASSIFICA ORDINATA'!O6</f>
        <v/>
      </c>
      <c r="R7" s="12">
        <f>'CLASSIFICA ORDINATA'!P6</f>
        <v>25</v>
      </c>
      <c r="S7" s="12">
        <f>'CLASSIFICA ORDINATA'!Q6</f>
        <v>1</v>
      </c>
      <c r="T7" s="96">
        <f>'CLASSIFICA ORDINATA'!R6</f>
        <v>26</v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66</v>
      </c>
    </row>
    <row r="8" spans="1:29" ht="20" customHeight="1" x14ac:dyDescent="0.2">
      <c r="A8" s="87" t="s">
        <v>4</v>
      </c>
      <c r="B8" s="84" t="str">
        <f>'CLASSIFICA ORDINATA'!B7</f>
        <v>TLM_Kappa</v>
      </c>
      <c r="C8" s="84" t="str">
        <f>VLOOKUP(B8,nomi!B:C,2,FALSE)</f>
        <v>TLM_Kappa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20</v>
      </c>
      <c r="G8" s="12" t="str">
        <f>'CLASSIFICA ORDINATA'!E7</f>
        <v/>
      </c>
      <c r="H8" s="96">
        <f>'CLASSIFICA ORDINATA'!F7</f>
        <v>20</v>
      </c>
      <c r="I8" s="12" t="str">
        <f>'CLASSIFICA ORDINATA'!G7</f>
        <v/>
      </c>
      <c r="J8" s="12">
        <f>'CLASSIFICA ORDINATA'!H7</f>
        <v>10</v>
      </c>
      <c r="K8" s="12" t="str">
        <f>'CLASSIFICA ORDINATA'!I7</f>
        <v/>
      </c>
      <c r="L8" s="96">
        <f>'CLASSIFICA ORDINATA'!J7</f>
        <v>10</v>
      </c>
      <c r="M8" s="12" t="str">
        <f>'CLASSIFICA ORDINATA'!K7</f>
        <v/>
      </c>
      <c r="N8" s="12">
        <f>'CLASSIFICA ORDINATA'!L7</f>
        <v>18</v>
      </c>
      <c r="O8" s="12" t="str">
        <f>'CLASSIFICA ORDINATA'!M7</f>
        <v/>
      </c>
      <c r="P8" s="96">
        <f>'CLASSIFICA ORDINATA'!N7</f>
        <v>18</v>
      </c>
      <c r="Q8" s="12" t="str">
        <f>'CLASSIFICA ORDINATA'!O7</f>
        <v/>
      </c>
      <c r="R8" s="12">
        <f>'CLASSIFICA ORDINATA'!P7</f>
        <v>18</v>
      </c>
      <c r="S8" s="12" t="str">
        <f>'CLASSIFICA ORDINATA'!Q7</f>
        <v/>
      </c>
      <c r="T8" s="96">
        <f>'CLASSIFICA ORDINATA'!R7</f>
        <v>18</v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66</v>
      </c>
    </row>
    <row r="9" spans="1:29" ht="20" customHeight="1" x14ac:dyDescent="0.2">
      <c r="A9" s="88" t="s">
        <v>5</v>
      </c>
      <c r="B9" s="84" t="str">
        <f>'CLASSIFICA ORDINATA'!B8</f>
        <v>Rupetheking</v>
      </c>
      <c r="C9" s="84" t="str">
        <f>VLOOKUP(B9,nomi!B:C,2,FALSE)</f>
        <v xml:space="preserve">Tlm-rupetheking </v>
      </c>
      <c r="D9" s="84" t="str">
        <f>VLOOKUP(B9,nomi!B:G,6,FALSE)</f>
        <v>TLM</v>
      </c>
      <c r="E9" s="12" t="str">
        <f>'CLASSIFICA ORDINATA'!C8</f>
        <v/>
      </c>
      <c r="F9" s="12">
        <f>'CLASSIFICA ORDINATA'!D8</f>
        <v>3</v>
      </c>
      <c r="G9" s="12" t="str">
        <f>'CLASSIFICA ORDINATA'!E8</f>
        <v/>
      </c>
      <c r="H9" s="96">
        <f>'CLASSIFICA ORDINATA'!F8</f>
        <v>3</v>
      </c>
      <c r="I9" s="12" t="str">
        <f>'CLASSIFICA ORDINATA'!G8</f>
        <v/>
      </c>
      <c r="J9" s="12">
        <f>'CLASSIFICA ORDINATA'!H8</f>
        <v>20</v>
      </c>
      <c r="K9" s="12" t="str">
        <f>'CLASSIFICA ORDINATA'!I8</f>
        <v/>
      </c>
      <c r="L9" s="96">
        <f>'CLASSIFICA ORDINATA'!J8</f>
        <v>20</v>
      </c>
      <c r="M9" s="12" t="str">
        <f>'CLASSIFICA ORDINATA'!K8</f>
        <v/>
      </c>
      <c r="N9" s="12">
        <f>'CLASSIFICA ORDINATA'!L8</f>
        <v>20</v>
      </c>
      <c r="O9" s="12" t="str">
        <f>'CLASSIFICA ORDINATA'!M8</f>
        <v/>
      </c>
      <c r="P9" s="96">
        <f>'CLASSIFICA ORDINATA'!N8</f>
        <v>20</v>
      </c>
      <c r="Q9" s="12" t="str">
        <f>'CLASSIFICA ORDINATA'!O8</f>
        <v/>
      </c>
      <c r="R9" s="12">
        <f>'CLASSIFICA ORDINATA'!P8</f>
        <v>16</v>
      </c>
      <c r="S9" s="12" t="str">
        <f>'CLASSIFICA ORDINATA'!Q8</f>
        <v/>
      </c>
      <c r="T9" s="96">
        <f>'CLASSIFICA ORDINATA'!R8</f>
        <v>16</v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59</v>
      </c>
    </row>
    <row r="10" spans="1:29" ht="20" customHeight="1" x14ac:dyDescent="0.2">
      <c r="A10" s="88" t="s">
        <v>6</v>
      </c>
      <c r="B10" s="84" t="str">
        <f>'CLASSIFICA ORDINATA'!B9</f>
        <v>CORNAZZAI73</v>
      </c>
      <c r="C10" s="84" t="str">
        <f>VLOOKUP(B10,nomi!B:C,2,FALSE)</f>
        <v>GTID_Cornazzai73</v>
      </c>
      <c r="D10" s="84" t="str">
        <f>VLOOKUP(B10,nomi!B:G,6,FALSE)</f>
        <v>GTID</v>
      </c>
      <c r="E10" s="12" t="str">
        <f>'CLASSIFICA ORDINATA'!C9</f>
        <v/>
      </c>
      <c r="F10" s="12">
        <f>'CLASSIFICA ORDINATA'!D9</f>
        <v>16</v>
      </c>
      <c r="G10" s="12" t="str">
        <f>'CLASSIFICA ORDINATA'!E9</f>
        <v/>
      </c>
      <c r="H10" s="96">
        <f>'CLASSIFICA ORDINATA'!F9</f>
        <v>16</v>
      </c>
      <c r="I10" s="12" t="str">
        <f>'CLASSIFICA ORDINATA'!G9</f>
        <v/>
      </c>
      <c r="J10" s="12">
        <f>'CLASSIFICA ORDINATA'!H9</f>
        <v>14</v>
      </c>
      <c r="K10" s="12" t="str">
        <f>'CLASSIFICA ORDINATA'!I9</f>
        <v/>
      </c>
      <c r="L10" s="96">
        <f>'CLASSIFICA ORDINATA'!J9</f>
        <v>14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6</v>
      </c>
      <c r="S10" s="12" t="str">
        <f>'CLASSIFICA ORDINATA'!Q9</f>
        <v/>
      </c>
      <c r="T10" s="96">
        <f>'CLASSIFICA ORDINATA'!R9</f>
        <v>6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xRUA85x</v>
      </c>
      <c r="C11" s="84" t="str">
        <f>VLOOKUP(B11,nomi!B:C,2,FALSE)</f>
        <v>TLM_Le Rua’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12</v>
      </c>
      <c r="G11" s="12" t="str">
        <f>'CLASSIFICA ORDINATA'!E10</f>
        <v/>
      </c>
      <c r="H11" s="96">
        <f>'CLASSIFICA ORDINATA'!F10</f>
        <v>12</v>
      </c>
      <c r="I11" s="12" t="str">
        <f>'CLASSIFICA ORDINATA'!G10</f>
        <v/>
      </c>
      <c r="J11" s="12">
        <f>'CLASSIFICA ORDINATA'!H10</f>
        <v>16</v>
      </c>
      <c r="K11" s="12" t="str">
        <f>'CLASSIFICA ORDINATA'!I10</f>
        <v/>
      </c>
      <c r="L11" s="96">
        <f>'CLASSIFICA ORDINATA'!J10</f>
        <v>16</v>
      </c>
      <c r="M11" s="12" t="str">
        <f>'CLASSIFICA ORDINATA'!K10</f>
        <v/>
      </c>
      <c r="N11" s="12">
        <f>'CLASSIFICA ORDINATA'!L10</f>
        <v>14</v>
      </c>
      <c r="O11" s="12" t="str">
        <f>'CLASSIFICA ORDINATA'!M10</f>
        <v/>
      </c>
      <c r="P11" s="96">
        <f>'CLASSIFICA ORDINATA'!N10</f>
        <v>14</v>
      </c>
      <c r="Q11" s="12" t="str">
        <f>'CLASSIFICA ORDINATA'!O10</f>
        <v/>
      </c>
      <c r="R11" s="12">
        <f>'CLASSIFICA ORDINATA'!P10</f>
        <v>8</v>
      </c>
      <c r="S11" s="12" t="str">
        <f>'CLASSIFICA ORDINATA'!Q10</f>
        <v/>
      </c>
      <c r="T11" s="96">
        <f>'CLASSIFICA ORDINATA'!R10</f>
        <v>8</v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50</v>
      </c>
    </row>
    <row r="12" spans="1:29" ht="20" customHeight="1" x14ac:dyDescent="0.2">
      <c r="A12" s="88" t="s">
        <v>8</v>
      </c>
      <c r="B12" s="84" t="str">
        <f>'CLASSIFICA ORDINATA'!B11</f>
        <v>TheGuarny</v>
      </c>
      <c r="C12" s="84" t="str">
        <f>VLOOKUP(B12,nomi!B:C,2,FALSE)</f>
        <v>TLM_TheGuarny</v>
      </c>
      <c r="D12" s="84" t="str">
        <f>VLOOKUP(B12,nomi!B:G,6,FALSE)</f>
        <v>TLM</v>
      </c>
      <c r="E12" s="12" t="str">
        <f>'CLASSIFICA ORDINATA'!C11</f>
        <v/>
      </c>
      <c r="F12" s="12">
        <f>'CLASSIFICA ORDINATA'!D11</f>
        <v>20</v>
      </c>
      <c r="G12" s="12" t="str">
        <f>'CLASSIFICA ORDINATA'!E11</f>
        <v/>
      </c>
      <c r="H12" s="96">
        <f>'CLASSIFICA ORDINATA'!F11</f>
        <v>20</v>
      </c>
      <c r="I12" s="12" t="str">
        <f>'CLASSIFICA ORDINATA'!G11</f>
        <v/>
      </c>
      <c r="J12" s="12">
        <f>'CLASSIFICA ORDINATA'!H11</f>
        <v>14</v>
      </c>
      <c r="K12" s="12" t="str">
        <f>'CLASSIFICA ORDINATA'!I11</f>
        <v/>
      </c>
      <c r="L12" s="96">
        <f>'CLASSIFICA ORDINATA'!J11</f>
        <v>14</v>
      </c>
      <c r="M12" s="12" t="str">
        <f>'CLASSIFICA ORDINATA'!K11</f>
        <v/>
      </c>
      <c r="N12" s="12">
        <f>'CLASSIFICA ORDINATA'!L11</f>
        <v>14</v>
      </c>
      <c r="O12" s="12" t="str">
        <f>'CLASSIFICA ORDINATA'!M11</f>
        <v/>
      </c>
      <c r="P12" s="96">
        <f>'CLASSIFICA ORDINATA'!N11</f>
        <v>14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48</v>
      </c>
    </row>
    <row r="13" spans="1:29" ht="20" customHeight="1" x14ac:dyDescent="0.2">
      <c r="A13" s="88" t="s">
        <v>9</v>
      </c>
      <c r="B13" s="84" t="str">
        <f>'CLASSIFICA ORDINATA'!B12</f>
        <v>TLM_Sicily22</v>
      </c>
      <c r="C13" s="84" t="str">
        <f>VLOOKUP(B13,nomi!B:C,2,FALSE)</f>
        <v>M.Di Bartolo</v>
      </c>
      <c r="D13" s="84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96" t="str">
        <f>'CLASSIFICA ORDINATA'!F12</f>
        <v/>
      </c>
      <c r="I13" s="12" t="str">
        <f>'CLASSIFICA ORDINATA'!G12</f>
        <v/>
      </c>
      <c r="J13" s="12">
        <f>'CLASSIFICA ORDINATA'!H12</f>
        <v>18</v>
      </c>
      <c r="K13" s="12" t="str">
        <f>'CLASSIFICA ORDINATA'!I12</f>
        <v/>
      </c>
      <c r="L13" s="96">
        <f>'CLASSIFICA ORDINATA'!J12</f>
        <v>18</v>
      </c>
      <c r="M13" s="12" t="str">
        <f>'CLASSIFICA ORDINATA'!K12</f>
        <v/>
      </c>
      <c r="N13" s="12">
        <f>'CLASSIFICA ORDINATA'!L12</f>
        <v>12</v>
      </c>
      <c r="O13" s="12" t="str">
        <f>'CLASSIFICA ORDINATA'!M12</f>
        <v/>
      </c>
      <c r="P13" s="96">
        <f>'CLASSIFICA ORDINATA'!N12</f>
        <v>12</v>
      </c>
      <c r="Q13" s="12" t="str">
        <f>'CLASSIFICA ORDINATA'!O12</f>
        <v/>
      </c>
      <c r="R13" s="12">
        <f>'CLASSIFICA ORDINATA'!P12</f>
        <v>12</v>
      </c>
      <c r="S13" s="12" t="str">
        <f>'CLASSIFICA ORDINATA'!Q12</f>
        <v/>
      </c>
      <c r="T13" s="96">
        <f>'CLASSIFICA ORDINATA'!R12</f>
        <v>12</v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42</v>
      </c>
    </row>
    <row r="14" spans="1:29" ht="20" customHeight="1" x14ac:dyDescent="0.2">
      <c r="A14" s="88" t="s">
        <v>10</v>
      </c>
      <c r="B14" s="84" t="str">
        <f>'CLASSIFICA ORDINATA'!B13</f>
        <v>TLM_michaelfox12</v>
      </c>
      <c r="C14" s="84" t="str">
        <f>VLOOKUP(B14,nomi!B:C,2,FALSE)</f>
        <v>TLM_michaelfox12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6</v>
      </c>
      <c r="G14" s="12" t="str">
        <f>'CLASSIFICA ORDINATA'!E13</f>
        <v/>
      </c>
      <c r="H14" s="96">
        <f>'CLASSIFICA ORDINATA'!F13</f>
        <v>6</v>
      </c>
      <c r="I14" s="12" t="str">
        <f>'CLASSIFICA ORDINATA'!G13</f>
        <v/>
      </c>
      <c r="J14" s="12">
        <f>'CLASSIFICA ORDINATA'!H13</f>
        <v>12</v>
      </c>
      <c r="K14" s="12" t="str">
        <f>'CLASSIFICA ORDINATA'!I13</f>
        <v/>
      </c>
      <c r="L14" s="96">
        <f>'CLASSIFICA ORDINATA'!J13</f>
        <v>12</v>
      </c>
      <c r="M14" s="12" t="str">
        <f>'CLASSIFICA ORDINATA'!K13</f>
        <v/>
      </c>
      <c r="N14" s="12">
        <f>'CLASSIFICA ORDINATA'!L13</f>
        <v>16</v>
      </c>
      <c r="O14" s="12" t="str">
        <f>'CLASSIFICA ORDINATA'!M13</f>
        <v/>
      </c>
      <c r="P14" s="96">
        <f>'CLASSIFICA ORDINATA'!N13</f>
        <v>16</v>
      </c>
      <c r="Q14" s="12" t="str">
        <f>'CLASSIFICA ORDINATA'!O13</f>
        <v/>
      </c>
      <c r="R14" s="12">
        <f>'CLASSIFICA ORDINATA'!P13</f>
        <v>5</v>
      </c>
      <c r="S14" s="12" t="str">
        <f>'CLASSIFICA ORDINATA'!Q13</f>
        <v/>
      </c>
      <c r="T14" s="96">
        <f>'CLASSIFICA ORDINATA'!R13</f>
        <v>5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39</v>
      </c>
    </row>
    <row r="15" spans="1:29" ht="20" customHeight="1" x14ac:dyDescent="0.2">
      <c r="A15" s="88" t="s">
        <v>11</v>
      </c>
      <c r="B15" s="84" t="str">
        <f>'CLASSIFICA ORDINATA'!B14</f>
        <v>Stefanostefanof</v>
      </c>
      <c r="C15" s="84" t="str">
        <f>VLOOKUP(B15,nomi!B:C,2,FALSE)</f>
        <v>CSC_stefano</v>
      </c>
      <c r="D15" s="84" t="str">
        <f>VLOOKUP(B15,nomi!B:G,6,FALSE)</f>
        <v>CSC</v>
      </c>
      <c r="E15" s="12" t="str">
        <f>'CLASSIFICA ORDINATA'!C14</f>
        <v/>
      </c>
      <c r="F15" s="12">
        <f>'CLASSIFICA ORDINATA'!D14</f>
        <v>10</v>
      </c>
      <c r="G15" s="12" t="str">
        <f>'CLASSIFICA ORDINATA'!E14</f>
        <v/>
      </c>
      <c r="H15" s="96">
        <f>'CLASSIFICA ORDINATA'!F14</f>
        <v>10</v>
      </c>
      <c r="I15" s="12" t="str">
        <f>'CLASSIFICA ORDINATA'!G14</f>
        <v/>
      </c>
      <c r="J15" s="12">
        <f>'CLASSIFICA ORDINATA'!H14</f>
        <v>5</v>
      </c>
      <c r="K15" s="12" t="str">
        <f>'CLASSIFICA ORDINATA'!I14</f>
        <v/>
      </c>
      <c r="L15" s="96">
        <f>'CLASSIFICA ORDINATA'!J14</f>
        <v>5</v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>
        <f>'CLASSIFICA ORDINATA'!P14</f>
        <v>14</v>
      </c>
      <c r="S15" s="12" t="str">
        <f>'CLASSIFICA ORDINATA'!Q14</f>
        <v/>
      </c>
      <c r="T15" s="96">
        <f>'CLASSIFICA ORDINATA'!R14</f>
        <v>14</v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29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>
        <f>'CLASSIFICA ORDINATA'!P15</f>
        <v>10</v>
      </c>
      <c r="S16" s="12" t="str">
        <f>'CLASSIFICA ORDINATA'!Q15</f>
        <v/>
      </c>
      <c r="T16" s="96">
        <f>'CLASSIFICA ORDINATA'!R15</f>
        <v>10</v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25</v>
      </c>
    </row>
    <row r="17" spans="1:16360" ht="20" customHeight="1" x14ac:dyDescent="0.2">
      <c r="A17" s="88" t="s">
        <v>13</v>
      </c>
      <c r="B17" s="84" t="str">
        <f>'CLASSIFICA ORDINATA'!B16</f>
        <v>GTRC-ALERASATO74</v>
      </c>
      <c r="C17" s="84" t="str">
        <f>VLOOKUP(B17,nomi!B:C,2,FALSE)</f>
        <v xml:space="preserve">Gtrc_AleRasato </v>
      </c>
      <c r="D17" s="84" t="str">
        <f>VLOOKUP(B17,nomi!B:G,6,FALSE)</f>
        <v>GTRC</v>
      </c>
      <c r="E17" s="12" t="str">
        <f>'CLASSIFICA ORDINATA'!C16</f>
        <v/>
      </c>
      <c r="F17" s="12">
        <f>'CLASSIFICA ORDINATA'!D16</f>
        <v>8</v>
      </c>
      <c r="G17" s="12" t="str">
        <f>'CLASSIFICA ORDINATA'!E16</f>
        <v/>
      </c>
      <c r="H17" s="96">
        <f>'CLASSIFICA ORDINATA'!F16</f>
        <v>8</v>
      </c>
      <c r="I17" s="12" t="str">
        <f>'CLASSIFICA ORDINATA'!G16</f>
        <v/>
      </c>
      <c r="J17" s="12">
        <f>'CLASSIFICA ORDINATA'!H16</f>
        <v>8</v>
      </c>
      <c r="K17" s="12" t="str">
        <f>'CLASSIFICA ORDINATA'!I16</f>
        <v/>
      </c>
      <c r="L17" s="96">
        <f>'CLASSIFICA ORDINATA'!J16</f>
        <v>8</v>
      </c>
      <c r="M17" s="12" t="str">
        <f>'CLASSIFICA ORDINATA'!K16</f>
        <v/>
      </c>
      <c r="N17" s="12">
        <f>'CLASSIFICA ORDINATA'!L16</f>
        <v>5</v>
      </c>
      <c r="O17" s="12" t="str">
        <f>'CLASSIFICA ORDINATA'!M16</f>
        <v/>
      </c>
      <c r="P17" s="96">
        <f>'CLASSIFICA ORDINATA'!N16</f>
        <v>5</v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21</v>
      </c>
    </row>
    <row r="18" spans="1:16360" ht="20" customHeight="1" x14ac:dyDescent="0.2">
      <c r="A18" s="88" t="s">
        <v>20</v>
      </c>
      <c r="B18" s="84" t="str">
        <f>'CLASSIFICA ORDINATA'!B17</f>
        <v>Selpa974</v>
      </c>
      <c r="C18" s="84" t="str">
        <f>VLOOKUP(B18,nomi!B:C,2,FALSE)</f>
        <v>TLM_Selpa974_#88</v>
      </c>
      <c r="D18" s="84" t="str">
        <f>VLOOKUP(B18,nomi!B:G,6,FALSE)</f>
        <v>TLM</v>
      </c>
      <c r="E18" s="12" t="str">
        <f>'CLASSIFICA ORDINATA'!C17</f>
        <v/>
      </c>
      <c r="F18" s="12">
        <f>'CLASSIFICA ORDINATA'!D17</f>
        <v>16</v>
      </c>
      <c r="G18" s="12" t="str">
        <f>'CLASSIFICA ORDINATA'!E17</f>
        <v/>
      </c>
      <c r="H18" s="96">
        <f>'CLASSIFICA ORDINATA'!F17</f>
        <v>16</v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16</v>
      </c>
    </row>
    <row r="19" spans="1:16360" ht="20" customHeight="1" x14ac:dyDescent="0.25">
      <c r="A19" s="88" t="s">
        <v>21</v>
      </c>
      <c r="B19" s="84" t="str">
        <f>'CLASSIFICA ORDINATA'!B18</f>
        <v>TeoDaniricky2000</v>
      </c>
      <c r="C19" s="84" t="str">
        <f>IFERROR(VLOOKUP(B19,nomi!B:C,2,FALSE),"")</f>
        <v>TeoDaniricky2000</v>
      </c>
      <c r="D19" s="84" t="str">
        <f>IFERROR(VLOOKUP(B19,nomi!B:G,6,FALSE),"")</f>
        <v>TLMA</v>
      </c>
      <c r="E19" s="12" t="str">
        <f>'CLASSIFICA ORDINATA'!C18</f>
        <v/>
      </c>
      <c r="F19" s="12">
        <f>'CLASSIFICA ORDINATA'!D18</f>
        <v>4</v>
      </c>
      <c r="G19" s="12" t="str">
        <f>'CLASSIFICA ORDINATA'!E18</f>
        <v/>
      </c>
      <c r="H19" s="96">
        <f>'CLASSIFICA ORDINATA'!F18</f>
        <v>4</v>
      </c>
      <c r="I19" s="12" t="str">
        <f>'CLASSIFICA ORDINATA'!G18</f>
        <v/>
      </c>
      <c r="J19" s="12">
        <f>'CLASSIFICA ORDINATA'!H18</f>
        <v>6</v>
      </c>
      <c r="K19" s="12" t="str">
        <f>'CLASSIFICA ORDINATA'!I18</f>
        <v/>
      </c>
      <c r="L19" s="96">
        <f>'CLASSIFICA ORDINATA'!J18</f>
        <v>6</v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>
        <f>'CLASSIFICA ORDINATA'!P18</f>
        <v>4</v>
      </c>
      <c r="S19" s="12" t="str">
        <f>'CLASSIFICA ORDINATA'!Q18</f>
        <v/>
      </c>
      <c r="T19" s="96">
        <f>'CLASSIFICA ORDINATA'!R18</f>
        <v>4</v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>
        <f>'CLASSIFICA ORDINATA'!AA18</f>
        <v>14</v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96</v>
      </c>
    </row>
    <row r="22" spans="1:16360" ht="20" customHeight="1" x14ac:dyDescent="0.2">
      <c r="A22" s="86" t="s">
        <v>3</v>
      </c>
      <c r="B22" s="84" t="str">
        <f>'CLASSIFICA ORDINATA'!B21</f>
        <v>RMT _SILVERMAN-AC</v>
      </c>
      <c r="C22" s="84" t="str">
        <f>VLOOKUP(B22,nomi!B:C,2,FALSE)</f>
        <v>L.Silvestri</v>
      </c>
      <c r="D22" s="84" t="str">
        <f>VLOOKUP(B22,nomi!B:G,6,FALSE)</f>
        <v>RMT</v>
      </c>
      <c r="E22" s="12">
        <f>'CLASSIFICA ORDINATA'!C21</f>
        <v>1</v>
      </c>
      <c r="F22" s="12">
        <f>'CLASSIFICA ORDINATA'!D21</f>
        <v>20</v>
      </c>
      <c r="G22" s="12" t="str">
        <f>'CLASSIFICA ORDINATA'!E21</f>
        <v/>
      </c>
      <c r="H22" s="96">
        <f>'CLASSIFICA ORDINATA'!F21</f>
        <v>21</v>
      </c>
      <c r="I22" s="12">
        <f>'CLASSIFICA ORDINATA'!G21</f>
        <v>1</v>
      </c>
      <c r="J22" s="12">
        <f>'CLASSIFICA ORDINATA'!H21</f>
        <v>25</v>
      </c>
      <c r="K22" s="12">
        <f>'CLASSIFICA ORDINATA'!I21</f>
        <v>1</v>
      </c>
      <c r="L22" s="96">
        <f>'CLASSIFICA ORDINATA'!J21</f>
        <v>27</v>
      </c>
      <c r="M22" s="12">
        <f>'CLASSIFICA ORDINATA'!K21</f>
        <v>1</v>
      </c>
      <c r="N22" s="12">
        <f>'CLASSIFICA ORDINATA'!L21</f>
        <v>25</v>
      </c>
      <c r="O22" s="12" t="str">
        <f>'CLASSIFICA ORDINATA'!M21</f>
        <v/>
      </c>
      <c r="P22" s="96">
        <f>'CLASSIFICA ORDINATA'!N21</f>
        <v>26</v>
      </c>
      <c r="Q22" s="12" t="str">
        <f>'CLASSIFICA ORDINATA'!O21</f>
        <v/>
      </c>
      <c r="R22" s="12">
        <f>'CLASSIFICA ORDINATA'!P21</f>
        <v>20</v>
      </c>
      <c r="S22" s="12">
        <f>'CLASSIFICA ORDINATA'!Q21</f>
        <v>1</v>
      </c>
      <c r="T22" s="96">
        <f>'CLASSIFICA ORDINATA'!R21</f>
        <v>21</v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95</v>
      </c>
    </row>
    <row r="23" spans="1:16360" ht="20" customHeight="1" x14ac:dyDescent="0.2">
      <c r="A23" s="87" t="s">
        <v>4</v>
      </c>
      <c r="B23" s="84" t="str">
        <f>'CLASSIFICA ORDINATA'!B22</f>
        <v>Pointshark</v>
      </c>
      <c r="C23" s="84" t="str">
        <f>VLOOKUP(B23,nomi!B:C,2,FALSE)</f>
        <v>Daniele</v>
      </c>
      <c r="D23" s="84" t="str">
        <f>VLOOKUP(B23,nomi!B:G,6,FALSE)</f>
        <v>GTRC</v>
      </c>
      <c r="E23" s="12" t="str">
        <f>'CLASSIFICA ORDINATA'!C22</f>
        <v/>
      </c>
      <c r="F23" s="12">
        <f>'CLASSIFICA ORDINATA'!D22</f>
        <v>18</v>
      </c>
      <c r="G23" s="12">
        <f>'CLASSIFICA ORDINATA'!E22</f>
        <v>1</v>
      </c>
      <c r="H23" s="96">
        <f>'CLASSIFICA ORDINATA'!F22</f>
        <v>19</v>
      </c>
      <c r="I23" s="12" t="str">
        <f>'CLASSIFICA ORDINATA'!G22</f>
        <v/>
      </c>
      <c r="J23" s="12">
        <f>'CLASSIFICA ORDINATA'!H22</f>
        <v>20</v>
      </c>
      <c r="K23" s="12">
        <f>'CLASSIFICA ORDINATA'!I22</f>
        <v>1</v>
      </c>
      <c r="L23" s="96">
        <f>'CLASSIFICA ORDINATA'!J22</f>
        <v>21</v>
      </c>
      <c r="M23" s="12">
        <f>'CLASSIFICA ORDINATA'!K22</f>
        <v>1</v>
      </c>
      <c r="N23" s="12">
        <f>'CLASSIFICA ORDINATA'!L22</f>
        <v>25</v>
      </c>
      <c r="O23" s="12">
        <f>'CLASSIFICA ORDINATA'!M22</f>
        <v>1</v>
      </c>
      <c r="P23" s="96">
        <f>'CLASSIFICA ORDINATA'!N22</f>
        <v>27</v>
      </c>
      <c r="Q23" s="12">
        <f>'CLASSIFICA ORDINATA'!O22</f>
        <v>1</v>
      </c>
      <c r="R23" s="12">
        <f>'CLASSIFICA ORDINATA'!P22</f>
        <v>12</v>
      </c>
      <c r="S23" s="12" t="str">
        <f>'CLASSIFICA ORDINATA'!Q22</f>
        <v/>
      </c>
      <c r="T23" s="96">
        <f>'CLASSIFICA ORDINATA'!R22</f>
        <v>13</v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80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65</v>
      </c>
    </row>
    <row r="25" spans="1:16360" ht="20" customHeight="1" x14ac:dyDescent="0.2">
      <c r="A25" s="88" t="s">
        <v>6</v>
      </c>
      <c r="B25" s="84" t="str">
        <f>'CLASSIFICA ORDINATA'!B24</f>
        <v>Marco-super-gt</v>
      </c>
      <c r="C25" s="84" t="str">
        <f>VLOOKUP(B25,nomi!B:C,2,FALSE)</f>
        <v>M.Pirrello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18</v>
      </c>
      <c r="G25" s="12" t="str">
        <f>'CLASSIFICA ORDINATA'!E24</f>
        <v/>
      </c>
      <c r="H25" s="96">
        <f>'CLASSIFICA ORDINATA'!F24</f>
        <v>18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10</v>
      </c>
      <c r="O25" s="12" t="str">
        <f>'CLASSIFICA ORDINATA'!M24</f>
        <v/>
      </c>
      <c r="P25" s="96">
        <f>'CLASSIFICA ORDINATA'!N24</f>
        <v>10</v>
      </c>
      <c r="Q25" s="12" t="str">
        <f>'CLASSIFICA ORDINATA'!O24</f>
        <v/>
      </c>
      <c r="R25" s="12">
        <f>'CLASSIFICA ORDINATA'!P24</f>
        <v>14</v>
      </c>
      <c r="S25" s="12" t="str">
        <f>'CLASSIFICA ORDINATA'!Q24</f>
        <v/>
      </c>
      <c r="T25" s="96">
        <f>'CLASSIFICA ORDINATA'!R24</f>
        <v>14</v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56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55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42</v>
      </c>
    </row>
    <row r="28" spans="1:16360" ht="20" customHeight="1" x14ac:dyDescent="0.2">
      <c r="A28" s="88" t="s">
        <v>9</v>
      </c>
      <c r="B28" s="84" t="str">
        <f>'CLASSIFICA ORDINATA'!B27</f>
        <v>Bobgre93</v>
      </c>
      <c r="C28" s="84" t="str">
        <f>VLOOKUP(B28,nomi!B:C,2,FALSE)</f>
        <v>TLM_BobGre93</v>
      </c>
      <c r="D28" s="84" t="str">
        <f>VLOOKUP(B28,nomi!B:G,6,FALSE)</f>
        <v>TLM</v>
      </c>
      <c r="E28" s="12" t="str">
        <f>'CLASSIFICA ORDINATA'!C27</f>
        <v/>
      </c>
      <c r="F28" s="12">
        <f>'CLASSIFICA ORDINATA'!D27</f>
        <v>20</v>
      </c>
      <c r="G28" s="12" t="str">
        <f>'CLASSIFICA ORDINATA'!E27</f>
        <v/>
      </c>
      <c r="H28" s="96">
        <f>'CLASSIFICA ORDINATA'!F27</f>
        <v>20</v>
      </c>
      <c r="I28" s="12" t="str">
        <f>'CLASSIFICA ORDINATA'!G27</f>
        <v/>
      </c>
      <c r="J28" s="12">
        <f>'CLASSIFICA ORDINATA'!H27</f>
        <v>16</v>
      </c>
      <c r="K28" s="12" t="str">
        <f>'CLASSIFICA ORDINATA'!I27</f>
        <v/>
      </c>
      <c r="L28" s="96">
        <f>'CLASSIFICA ORDINATA'!J27</f>
        <v>16</v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96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36</v>
      </c>
    </row>
    <row r="29" spans="1:16360" ht="20" customHeight="1" x14ac:dyDescent="0.2">
      <c r="A29" s="88" t="s">
        <v>10</v>
      </c>
      <c r="B29" s="84" t="str">
        <f>'CLASSIFICA ORDINATA'!B28</f>
        <v>Talsigiano</v>
      </c>
      <c r="C29" s="84" t="str">
        <f>VLOOKUP(B29,nomi!B:C,2,FALSE)</f>
        <v xml:space="preserve">Talsigiano 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5</v>
      </c>
      <c r="G29" s="12" t="str">
        <f>'CLASSIFICA ORDINATA'!E28</f>
        <v/>
      </c>
      <c r="H29" s="96">
        <f>'CLASSIFICA ORDINATA'!F28</f>
        <v>5</v>
      </c>
      <c r="I29" s="12" t="str">
        <f>'CLASSIFICA ORDINATA'!G28</f>
        <v/>
      </c>
      <c r="J29" s="12">
        <f>'CLASSIFICA ORDINATA'!H28</f>
        <v>8</v>
      </c>
      <c r="K29" s="12" t="str">
        <f>'CLASSIFICA ORDINATA'!I28</f>
        <v/>
      </c>
      <c r="L29" s="96">
        <f>'CLASSIFICA ORDINATA'!J28</f>
        <v>8</v>
      </c>
      <c r="M29" s="12" t="str">
        <f>'CLASSIFICA ORDINATA'!K28</f>
        <v/>
      </c>
      <c r="N29" s="12">
        <f>'CLASSIFICA ORDINATA'!L28</f>
        <v>8</v>
      </c>
      <c r="O29" s="12" t="str">
        <f>'CLASSIFICA ORDINATA'!M28</f>
        <v/>
      </c>
      <c r="P29" s="96">
        <f>'CLASSIFICA ORDINATA'!N28</f>
        <v>8</v>
      </c>
      <c r="Q29" s="12" t="str">
        <f>'CLASSIFICA ORDINATA'!O28</f>
        <v/>
      </c>
      <c r="R29" s="12">
        <f>'CLASSIFICA ORDINATA'!P28</f>
        <v>10</v>
      </c>
      <c r="S29" s="12" t="str">
        <f>'CLASSIFICA ORDINATA'!Q28</f>
        <v/>
      </c>
      <c r="T29" s="96">
        <f>'CLASSIFICA ORDINATA'!R28</f>
        <v>10</v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31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21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15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15</v>
      </c>
    </row>
    <row r="33" spans="1:29" ht="20" customHeight="1" x14ac:dyDescent="0.2">
      <c r="A33" s="88" t="s">
        <v>20</v>
      </c>
      <c r="B33" s="84" t="str">
        <f>'CLASSIFICA ORDINATA'!B32</f>
        <v>Blokkobubbles</v>
      </c>
      <c r="C33" s="84" t="str">
        <f>VLOOKUP(B33,nomi!B:C,2,FALSE)</f>
        <v>Blokko</v>
      </c>
      <c r="D33" s="84" t="str">
        <f>VLOOKUP(B33,nomi!B:G,6,FALSE)</f>
        <v>TLMA</v>
      </c>
      <c r="E33" s="12" t="str">
        <f>'CLASSIFICA ORDINATA'!C32</f>
        <v/>
      </c>
      <c r="F33" s="12">
        <f>'CLASSIFICA ORDINATA'!D32</f>
        <v>6</v>
      </c>
      <c r="G33" s="12" t="str">
        <f>'CLASSIFICA ORDINATA'!E32</f>
        <v/>
      </c>
      <c r="H33" s="96">
        <f>'CLASSIFICA ORDINATA'!F32</f>
        <v>6</v>
      </c>
      <c r="I33" s="12" t="str">
        <f>'CLASSIFICA ORDINATA'!G32</f>
        <v/>
      </c>
      <c r="J33" s="12">
        <f>'CLASSIFICA ORDINATA'!H32</f>
        <v>5</v>
      </c>
      <c r="K33" s="12" t="str">
        <f>'CLASSIFICA ORDINATA'!I32</f>
        <v/>
      </c>
      <c r="L33" s="96">
        <f>'CLASSIFICA ORDINATA'!J32</f>
        <v>5</v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11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107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>
        <f>'CLASSIFICA ORDINATA'!P36</f>
        <v>14</v>
      </c>
      <c r="S37" s="12" t="str">
        <f>'CLASSIFICA ORDINATA'!Q36</f>
        <v/>
      </c>
      <c r="T37" s="96">
        <f>'CLASSIFICA ORDINATA'!R36</f>
        <v>14</v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67</v>
      </c>
    </row>
    <row r="38" spans="1:29" ht="20" customHeight="1" x14ac:dyDescent="0.2">
      <c r="A38" s="87" t="s">
        <v>4</v>
      </c>
      <c r="B38" s="84" t="str">
        <f>'CLASSIFICA ORDINATA'!B37</f>
        <v>TLM_wid83</v>
      </c>
      <c r="C38" s="84" t="str">
        <f>VLOOKUP(B38,nomi!B:C,2,FALSE)</f>
        <v>TLM_wid83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18</v>
      </c>
      <c r="G38" s="12" t="str">
        <f>'CLASSIFICA ORDINATA'!E37</f>
        <v/>
      </c>
      <c r="H38" s="96">
        <f>'CLASSIFICA ORDINATA'!F37</f>
        <v>18</v>
      </c>
      <c r="I38" s="12" t="str">
        <f>'CLASSIFICA ORDINATA'!G37</f>
        <v/>
      </c>
      <c r="J38" s="12">
        <f>'CLASSIFICA ORDINATA'!H37</f>
        <v>12</v>
      </c>
      <c r="K38" s="12" t="str">
        <f>'CLASSIFICA ORDINATA'!I37</f>
        <v/>
      </c>
      <c r="L38" s="96">
        <f>'CLASSIFICA ORDINATA'!J37</f>
        <v>12</v>
      </c>
      <c r="M38" s="12" t="str">
        <f>'CLASSIFICA ORDINATA'!K37</f>
        <v/>
      </c>
      <c r="N38" s="12">
        <f>'CLASSIFICA ORDINATA'!L37</f>
        <v>16</v>
      </c>
      <c r="O38" s="12" t="str">
        <f>'CLASSIFICA ORDINATA'!M37</f>
        <v/>
      </c>
      <c r="P38" s="96">
        <f>'CLASSIFICA ORDINATA'!N37</f>
        <v>16</v>
      </c>
      <c r="Q38" s="12" t="str">
        <f>'CLASSIFICA ORDINATA'!O37</f>
        <v/>
      </c>
      <c r="R38" s="12">
        <f>'CLASSIFICA ORDINATA'!P37</f>
        <v>20</v>
      </c>
      <c r="S38" s="12" t="str">
        <f>'CLASSIFICA ORDINATA'!Q37</f>
        <v/>
      </c>
      <c r="T38" s="96">
        <f>'CLASSIFICA ORDINATA'!R37</f>
        <v>20</v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66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58</v>
      </c>
    </row>
    <row r="40" spans="1:29" ht="20" customHeight="1" x14ac:dyDescent="0.2">
      <c r="A40" s="88" t="s">
        <v>6</v>
      </c>
      <c r="B40" s="84" t="str">
        <f>'CLASSIFICA ORDINATA'!B39</f>
        <v>jet_morello</v>
      </c>
      <c r="C40" s="84" t="str">
        <f>VLOOKUP(B40,nomi!B:C,2,FALSE)</f>
        <v>Iaia angelo</v>
      </c>
      <c r="D40" s="84" t="str">
        <f>VLOOKUP(B40,nomi!B:G,6,FALSE)</f>
        <v>TLM</v>
      </c>
      <c r="E40" s="12" t="str">
        <f>'CLASSIFICA ORDINATA'!C39</f>
        <v/>
      </c>
      <c r="F40" s="12">
        <f>'CLASSIFICA ORDINATA'!D39</f>
        <v>12</v>
      </c>
      <c r="G40" s="12" t="str">
        <f>'CLASSIFICA ORDINATA'!E39</f>
        <v/>
      </c>
      <c r="H40" s="96">
        <f>'CLASSIFICA ORDINATA'!F39</f>
        <v>12</v>
      </c>
      <c r="I40" s="12" t="str">
        <f>'CLASSIFICA ORDINATA'!G39</f>
        <v/>
      </c>
      <c r="J40" s="12">
        <f>'CLASSIFICA ORDINATA'!H39</f>
        <v>10</v>
      </c>
      <c r="K40" s="12" t="str">
        <f>'CLASSIFICA ORDINATA'!I39</f>
        <v/>
      </c>
      <c r="L40" s="96">
        <f>'CLASSIFICA ORDINATA'!J39</f>
        <v>10</v>
      </c>
      <c r="M40" s="12" t="str">
        <f>'CLASSIFICA ORDINATA'!K39</f>
        <v/>
      </c>
      <c r="N40" s="12" t="str">
        <f>'CLASSIFICA ORDINATA'!L39</f>
        <v/>
      </c>
      <c r="O40" s="12" t="str">
        <f>'CLASSIFICA ORDINATA'!M39</f>
        <v/>
      </c>
      <c r="P40" s="96" t="str">
        <f>'CLASSIFICA ORDINATA'!N39</f>
        <v/>
      </c>
      <c r="Q40" s="12" t="str">
        <f>'CLASSIFICA ORDINATA'!O39</f>
        <v/>
      </c>
      <c r="R40" s="12">
        <f>'CLASSIFICA ORDINATA'!P39</f>
        <v>16</v>
      </c>
      <c r="S40" s="12" t="str">
        <f>'CLASSIFICA ORDINATA'!Q39</f>
        <v/>
      </c>
      <c r="T40" s="96">
        <f>'CLASSIFICA ORDINATA'!R39</f>
        <v>16</v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38</v>
      </c>
    </row>
    <row r="41" spans="1:29" ht="20" customHeight="1" x14ac:dyDescent="0.2">
      <c r="A41" s="88" t="s">
        <v>7</v>
      </c>
      <c r="B41" s="84" t="str">
        <f>'CLASSIFICA ORDINATA'!B40</f>
        <v>madonte</v>
      </c>
      <c r="C41" s="84" t="str">
        <f>VLOOKUP(B41,nomi!B:C,2,FALSE)</f>
        <v>GTRC_madonte</v>
      </c>
      <c r="D41" s="84" t="str">
        <f>VLOOKUP(B41,nomi!B:G,6,FALSE)</f>
        <v>GTRC</v>
      </c>
      <c r="E41" s="12" t="str">
        <f>'CLASSIFICA ORDINATA'!C40</f>
        <v/>
      </c>
      <c r="F41" s="12">
        <f>'CLASSIFICA ORDINATA'!D40</f>
        <v>10</v>
      </c>
      <c r="G41" s="12" t="str">
        <f>'CLASSIFICA ORDINATA'!E40</f>
        <v/>
      </c>
      <c r="H41" s="96">
        <f>'CLASSIFICA ORDINATA'!F40</f>
        <v>10</v>
      </c>
      <c r="I41" s="12" t="str">
        <f>'CLASSIFICA ORDINATA'!G40</f>
        <v/>
      </c>
      <c r="J41" s="12">
        <f>'CLASSIFICA ORDINATA'!H40</f>
        <v>6</v>
      </c>
      <c r="K41" s="12" t="str">
        <f>'CLASSIFICA ORDINATA'!I40</f>
        <v/>
      </c>
      <c r="L41" s="96">
        <f>'CLASSIFICA ORDINATA'!J40</f>
        <v>6</v>
      </c>
      <c r="M41" s="12" t="str">
        <f>'CLASSIFICA ORDINATA'!K40</f>
        <v/>
      </c>
      <c r="N41" s="12">
        <f>'CLASSIFICA ORDINATA'!L40</f>
        <v>12</v>
      </c>
      <c r="O41" s="12" t="str">
        <f>'CLASSIFICA ORDINATA'!M40</f>
        <v/>
      </c>
      <c r="P41" s="96">
        <f>'CLASSIFICA ORDINATA'!N40</f>
        <v>12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28</v>
      </c>
    </row>
    <row r="42" spans="1:29" ht="20" customHeight="1" x14ac:dyDescent="0.2">
      <c r="A42" s="88" t="s">
        <v>8</v>
      </c>
      <c r="B42" s="84" t="str">
        <f>'CLASSIFICA ORDINATA'!B41</f>
        <v>Cjcerbola</v>
      </c>
      <c r="C42" s="84" t="str">
        <f>VLOOKUP(B42,nomi!B:C,2,FALSE)</f>
        <v>Dct_Cjcerbola</v>
      </c>
      <c r="D42" s="84" t="str">
        <f>VLOOKUP(B42,nomi!B:G,6,FALSE)</f>
        <v>DCT</v>
      </c>
      <c r="E42" s="12" t="str">
        <f>'CLASSIFICA ORDINATA'!C41</f>
        <v/>
      </c>
      <c r="F42" s="12">
        <f>'CLASSIFICA ORDINATA'!D41</f>
        <v>6</v>
      </c>
      <c r="G42" s="12" t="str">
        <f>'CLASSIFICA ORDINATA'!E41</f>
        <v/>
      </c>
      <c r="H42" s="96">
        <f>'CLASSIFICA ORDINATA'!F41</f>
        <v>6</v>
      </c>
      <c r="I42" s="12" t="str">
        <f>'CLASSIFICA ORDINATA'!G41</f>
        <v/>
      </c>
      <c r="J42" s="12">
        <f>'CLASSIFICA ORDINATA'!H41</f>
        <v>5</v>
      </c>
      <c r="K42" s="12" t="str">
        <f>'CLASSIFICA ORDINATA'!I41</f>
        <v/>
      </c>
      <c r="L42" s="96">
        <f>'CLASSIFICA ORDINATA'!J41</f>
        <v>5</v>
      </c>
      <c r="M42" s="12" t="str">
        <f>'CLASSIFICA ORDINATA'!K41</f>
        <v/>
      </c>
      <c r="N42" s="12">
        <f>'CLASSIFICA ORDINATA'!L41</f>
        <v>5</v>
      </c>
      <c r="O42" s="12" t="str">
        <f>'CLASSIFICA ORDINATA'!M41</f>
        <v/>
      </c>
      <c r="P42" s="96">
        <f>'CLASSIFICA ORDINATA'!N41</f>
        <v>5</v>
      </c>
      <c r="Q42" s="12" t="str">
        <f>'CLASSIFICA ORDINATA'!O41</f>
        <v/>
      </c>
      <c r="R42" s="12">
        <f>'CLASSIFICA ORDINATA'!P41</f>
        <v>12</v>
      </c>
      <c r="S42" s="12" t="str">
        <f>'CLASSIFICA ORDINATA'!Q41</f>
        <v/>
      </c>
      <c r="T42" s="96">
        <f>'CLASSIFICA ORDINATA'!R41</f>
        <v>12</v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Liotru1979</v>
      </c>
      <c r="C43" s="84" t="str">
        <f>VLOOKUP(B43,nomi!B:C,2,FALSE)</f>
        <v xml:space="preserve">TLM Max 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8</v>
      </c>
      <c r="G43" s="12" t="str">
        <f>'CLASSIFICA ORDINATA'!E42</f>
        <v/>
      </c>
      <c r="H43" s="96">
        <f>'CLASSIFICA ORDINATA'!F42</f>
        <v>8</v>
      </c>
      <c r="I43" s="12" t="str">
        <f>'CLASSIFICA ORDINATA'!G42</f>
        <v/>
      </c>
      <c r="J43" s="12">
        <f>'CLASSIFICA ORDINATA'!H42</f>
        <v>8</v>
      </c>
      <c r="K43" s="12" t="str">
        <f>'CLASSIFICA ORDINATA'!I42</f>
        <v/>
      </c>
      <c r="L43" s="96">
        <f>'CLASSIFICA ORDINATA'!J42</f>
        <v>8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8</v>
      </c>
      <c r="S43" s="12" t="str">
        <f>'CLASSIFICA ORDINATA'!Q42</f>
        <v/>
      </c>
      <c r="T43" s="96">
        <f>'CLASSIFICA ORDINATA'!R42</f>
        <v>8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24</v>
      </c>
    </row>
    <row r="44" spans="1:29" ht="20" customHeight="1" x14ac:dyDescent="0.2">
      <c r="A44" s="88" t="s">
        <v>10</v>
      </c>
      <c r="B44" s="84" t="str">
        <f>'CLASSIFICA ORDINATA'!B43</f>
        <v>Isnotacrime</v>
      </c>
      <c r="C44" s="84" t="str">
        <f>VLOOKUP(B44,nomi!B:C,2,FALSE)</f>
        <v xml:space="preserve">TLM isnotacrime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3</v>
      </c>
      <c r="G44" s="12" t="str">
        <f>'CLASSIFICA ORDINATA'!E43</f>
        <v/>
      </c>
      <c r="H44" s="96">
        <f>'CLASSIFICA ORDINATA'!F43</f>
        <v>3</v>
      </c>
      <c r="I44" s="12" t="str">
        <f>'CLASSIFICA ORDINATA'!G43</f>
        <v/>
      </c>
      <c r="J44" s="12" t="str">
        <f>'CLASSIFICA ORDINATA'!H43</f>
        <v/>
      </c>
      <c r="K44" s="12" t="str">
        <f>'CLASSIFICA ORDINATA'!I43</f>
        <v/>
      </c>
      <c r="L44" s="96" t="str">
        <f>'CLASSIFICA ORDINATA'!J43</f>
        <v/>
      </c>
      <c r="M44" s="12" t="str">
        <f>'CLASSIFICA ORDINATA'!K43</f>
        <v/>
      </c>
      <c r="N44" s="12">
        <f>'CLASSIFICA ORDINATA'!L43</f>
        <v>6</v>
      </c>
      <c r="O44" s="12" t="str">
        <f>'CLASSIFICA ORDINATA'!M43</f>
        <v/>
      </c>
      <c r="P44" s="96">
        <f>'CLASSIFICA ORDINATA'!N43</f>
        <v>6</v>
      </c>
      <c r="Q44" s="12" t="str">
        <f>'CLASSIFICA ORDINATA'!O43</f>
        <v/>
      </c>
      <c r="R44" s="12">
        <f>'CLASSIFICA ORDINATA'!P43</f>
        <v>10</v>
      </c>
      <c r="S44" s="12" t="str">
        <f>'CLASSIFICA ORDINATA'!Q43</f>
        <v/>
      </c>
      <c r="T44" s="96">
        <f>'CLASSIFICA ORDINATA'!R43</f>
        <v>10</v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19</v>
      </c>
    </row>
    <row r="45" spans="1:29" ht="20" customHeight="1" x14ac:dyDescent="0.2">
      <c r="A45" s="88" t="s">
        <v>11</v>
      </c>
      <c r="B45" s="84" t="str">
        <f>'CLASSIFICA ORDINATA'!B44</f>
        <v>TLM_CaLiGoLa</v>
      </c>
      <c r="C45" s="84" t="str">
        <f>VLOOKUP(B45,nomi!B:C,2,FALSE)</f>
        <v>TLM_CaLiGoLa</v>
      </c>
      <c r="D45" s="84" t="str">
        <f>VLOOKUP(B45,nomi!B:G,6,FALSE)</f>
        <v>TLM</v>
      </c>
      <c r="E45" s="12" t="str">
        <f>'CLASSIFICA ORDINATA'!C44</f>
        <v/>
      </c>
      <c r="F45" s="12">
        <f>'CLASSIFICA ORDINATA'!D44</f>
        <v>5</v>
      </c>
      <c r="G45" s="12" t="str">
        <f>'CLASSIFICA ORDINATA'!E44</f>
        <v/>
      </c>
      <c r="H45" s="96">
        <f>'CLASSIFICA ORDINATA'!F44</f>
        <v>5</v>
      </c>
      <c r="I45" s="12" t="str">
        <f>'CLASSIFICA ORDINATA'!G44</f>
        <v/>
      </c>
      <c r="J45" s="12" t="str">
        <f>'CLASSIFICA ORDINATA'!H44</f>
        <v/>
      </c>
      <c r="K45" s="12" t="str">
        <f>'CLASSIFICA ORDINATA'!I44</f>
        <v/>
      </c>
      <c r="L45" s="96" t="str">
        <f>'CLASSIFICA ORDINATA'!J44</f>
        <v/>
      </c>
      <c r="M45" s="12" t="str">
        <f>'CLASSIFICA ORDINATA'!K44</f>
        <v/>
      </c>
      <c r="N45" s="12">
        <f>'CLASSIFICA ORDINATA'!L44</f>
        <v>8</v>
      </c>
      <c r="O45" s="12" t="str">
        <f>'CLASSIFICA ORDINATA'!M44</f>
        <v/>
      </c>
      <c r="P45" s="96">
        <f>'CLASSIFICA ORDINATA'!N44</f>
        <v>8</v>
      </c>
      <c r="Q45" s="12" t="str">
        <f>'CLASSIFICA ORDINATA'!O44</f>
        <v/>
      </c>
      <c r="R45" s="12">
        <f>'CLASSIFICA ORDINATA'!P44</f>
        <v>6</v>
      </c>
      <c r="S45" s="12" t="str">
        <f>'CLASSIFICA ORDINATA'!Q44</f>
        <v/>
      </c>
      <c r="T45" s="96">
        <f>'CLASSIFICA ORDINATA'!R44</f>
        <v>6</v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19</v>
      </c>
    </row>
    <row r="46" spans="1:29" ht="20" customHeight="1" x14ac:dyDescent="0.2">
      <c r="A46" s="88" t="s">
        <v>12</v>
      </c>
      <c r="B46" s="84" t="str">
        <f>'CLASSIFICA ORDINATA'!B45</f>
        <v>mirkozaffaron296</v>
      </c>
      <c r="C46" s="84" t="str">
        <f>VLOOKUP(B46,nomi!B:C,2,FALSE)</f>
        <v xml:space="preserve">GTRC-MIRKOZAFFA </v>
      </c>
      <c r="D46" s="84" t="str">
        <f>VLOOKUP(B46,nomi!B:G,6,FALSE)</f>
        <v>GTRC</v>
      </c>
      <c r="E46" s="12" t="str">
        <f>'CLASSIFICA ORDINATA'!C45</f>
        <v/>
      </c>
      <c r="F46" s="12">
        <f>'CLASSIFICA ORDINATA'!D45</f>
        <v>4</v>
      </c>
      <c r="G46" s="12" t="str">
        <f>'CLASSIFICA ORDINATA'!E45</f>
        <v/>
      </c>
      <c r="H46" s="96">
        <f>'CLASSIFICA ORDINATA'!F45</f>
        <v>4</v>
      </c>
      <c r="I46" s="12" t="str">
        <f>'CLASSIFICA ORDINATA'!G45</f>
        <v/>
      </c>
      <c r="J46" s="12">
        <f>'CLASSIFICA ORDINATA'!H45</f>
        <v>4</v>
      </c>
      <c r="K46" s="12" t="str">
        <f>'CLASSIFICA ORDINATA'!I45</f>
        <v/>
      </c>
      <c r="L46" s="96">
        <f>'CLASSIFICA ORDINATA'!J45</f>
        <v>4</v>
      </c>
      <c r="M46" s="12" t="str">
        <f>'CLASSIFICA ORDINATA'!K45</f>
        <v/>
      </c>
      <c r="N46" s="12">
        <f>'CLASSIFICA ORDINATA'!L45</f>
        <v>4</v>
      </c>
      <c r="O46" s="12" t="str">
        <f>'CLASSIFICA ORDINATA'!M45</f>
        <v/>
      </c>
      <c r="P46" s="96">
        <f>'CLASSIFICA ORDINATA'!N45</f>
        <v>4</v>
      </c>
      <c r="Q46" s="12" t="str">
        <f>'CLASSIFICA ORDINATA'!O45</f>
        <v/>
      </c>
      <c r="R46" s="12">
        <f>'CLASSIFICA ORDINATA'!P45</f>
        <v>5</v>
      </c>
      <c r="S46" s="12" t="str">
        <f>'CLASSIFICA ORDINATA'!Q45</f>
        <v/>
      </c>
      <c r="T46" s="96">
        <f>'CLASSIFICA ORDINATA'!R45</f>
        <v>5</v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17</v>
      </c>
    </row>
    <row r="47" spans="1:29" ht="20" customHeight="1" x14ac:dyDescent="0.2">
      <c r="A47" s="88" t="s">
        <v>13</v>
      </c>
      <c r="B47" s="84" t="str">
        <f>'CLASSIFICA ORDINATA'!B46</f>
        <v>Patanel86</v>
      </c>
      <c r="C47" s="84" t="str">
        <f>VLOOKUP(B47,nomi!B:C,2,FALSE)</f>
        <v>TLM_PataneL86</v>
      </c>
      <c r="D47" s="84" t="str">
        <f>VLOOKUP(B47,nomi!B:G,6,FALSE)</f>
        <v>TLM</v>
      </c>
      <c r="E47" s="12" t="str">
        <f>'CLASSIFICA ORDINATA'!C46</f>
        <v/>
      </c>
      <c r="F47" s="12" t="str">
        <f>'CLASSIFICA ORDINATA'!D46</f>
        <v/>
      </c>
      <c r="G47" s="12" t="str">
        <f>'CLASSIFICA ORDINATA'!E46</f>
        <v/>
      </c>
      <c r="H47" s="96" t="str">
        <f>'CLASSIFICA ORDINATA'!F46</f>
        <v/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96" t="str">
        <f>'CLASSIFICA ORDINATA'!J46</f>
        <v/>
      </c>
      <c r="M47" s="12" t="str">
        <f>'CLASSIFICA ORDINATA'!K46</f>
        <v/>
      </c>
      <c r="N47" s="12" t="str">
        <f>'CLASSIFICA ORDINATA'!L46</f>
        <v/>
      </c>
      <c r="O47" s="12" t="str">
        <f>'CLASSIFICA ORDINATA'!M46</f>
        <v/>
      </c>
      <c r="P47" s="96" t="str">
        <f>'CLASSIFICA ORDINATA'!N46</f>
        <v/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 t="str">
        <f>'CLASSIFICA ORDINATA'!AA46</f>
        <v/>
      </c>
    </row>
    <row r="48" spans="1:29" ht="20" customHeight="1" x14ac:dyDescent="0.2">
      <c r="A48" s="88" t="s">
        <v>20</v>
      </c>
      <c r="B48" s="84" t="str">
        <f>'CLASSIFICA ORDINATA'!B47</f>
        <v/>
      </c>
      <c r="C48" s="84" t="e">
        <f>VLOOKUP(B48,nomi!B:C,2,FALSE)</f>
        <v>#N/A</v>
      </c>
      <c r="D48" s="84" t="e">
        <f>VLOOKUP(B48,nomi!B:G,6,FALSE)</f>
        <v>#N/A</v>
      </c>
      <c r="E48" s="12" t="str">
        <f>'CLASSIFICA ORDINATA'!C47</f>
        <v/>
      </c>
      <c r="F48" s="12" t="str">
        <f>'CLASSIFICA ORDINATA'!D47</f>
        <v/>
      </c>
      <c r="G48" s="12" t="str">
        <f>'CLASSIFICA ORDINATA'!E47</f>
        <v/>
      </c>
      <c r="H48" s="96" t="str">
        <f>'CLASSIFICA ORDINATA'!F47</f>
        <v/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 t="str">
        <f>'CLASSIFICA ORDINATA'!L47</f>
        <v/>
      </c>
      <c r="O48" s="12" t="str">
        <f>'CLASSIFICA ORDINATA'!M47</f>
        <v/>
      </c>
      <c r="P48" s="96" t="str">
        <f>'CLASSIFICA ORDINATA'!N47</f>
        <v/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 t="str">
        <f>'CLASSIFICA ORDINATA'!AA47</f>
        <v/>
      </c>
    </row>
    <row r="49" spans="1:29" ht="20" customHeight="1" x14ac:dyDescent="0.2">
      <c r="A49" s="88" t="s">
        <v>21</v>
      </c>
      <c r="B49" s="84" t="str">
        <f>'CLASSIFICA ORDINATA'!B48</f>
        <v/>
      </c>
      <c r="C49" s="84" t="e">
        <f>VLOOKUP(B49,nomi!B:C,2,FALSE)</f>
        <v>#N/A</v>
      </c>
      <c r="D49" s="84" t="e">
        <f>VLOOKUP(B49,nomi!B:G,6,FALSE)</f>
        <v>#N/A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X-Gianni-</v>
      </c>
      <c r="C52" s="84" t="str">
        <f>VLOOKUP(B52,nomi!B:C,2,FALSE)</f>
        <v>GTRC-X-Gianni-</v>
      </c>
      <c r="D52" s="84" t="str">
        <f>VLOOKUP(B52,nomi!B:G,6,FALSE)</f>
        <v>GTRC</v>
      </c>
      <c r="E52" s="12" t="str">
        <f>'CLASSIFICA ORDINATA'!C51</f>
        <v/>
      </c>
      <c r="F52" s="12">
        <f>'CLASSIFICA ORDINATA'!D51</f>
        <v>18</v>
      </c>
      <c r="G52" s="12" t="str">
        <f>'CLASSIFICA ORDINATA'!E51</f>
        <v/>
      </c>
      <c r="H52" s="96">
        <f>'CLASSIFICA ORDINATA'!F51</f>
        <v>18</v>
      </c>
      <c r="I52" s="12" t="str">
        <f>'CLASSIFICA ORDINATA'!G51</f>
        <v/>
      </c>
      <c r="J52" s="12">
        <f>'CLASSIFICA ORDINATA'!H51</f>
        <v>12</v>
      </c>
      <c r="K52" s="12" t="str">
        <f>'CLASSIFICA ORDINATA'!I51</f>
        <v/>
      </c>
      <c r="L52" s="96">
        <f>'CLASSIFICA ORDINATA'!J51</f>
        <v>12</v>
      </c>
      <c r="M52" s="12" t="str">
        <f>'CLASSIFICA ORDINATA'!K51</f>
        <v/>
      </c>
      <c r="N52" s="12">
        <f>'CLASSIFICA ORDINATA'!L51</f>
        <v>14</v>
      </c>
      <c r="O52" s="12" t="str">
        <f>'CLASSIFICA ORDINATA'!M51</f>
        <v/>
      </c>
      <c r="P52" s="96">
        <f>'CLASSIFICA ORDINATA'!N51</f>
        <v>14</v>
      </c>
      <c r="Q52" s="12" t="str">
        <f>'CLASSIFICA ORDINATA'!O51</f>
        <v/>
      </c>
      <c r="R52" s="12">
        <f>'CLASSIFICA ORDINATA'!P51</f>
        <v>20</v>
      </c>
      <c r="S52" s="12" t="str">
        <f>'CLASSIFICA ORDINATA'!Q51</f>
        <v/>
      </c>
      <c r="T52" s="96">
        <f>'CLASSIFICA ORDINATA'!R51</f>
        <v>20</v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64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54</v>
      </c>
    </row>
    <row r="54" spans="1:29" ht="20" customHeight="1" x14ac:dyDescent="0.2">
      <c r="A54" s="88" t="s">
        <v>5</v>
      </c>
      <c r="B54" s="84" t="str">
        <f>'CLASSIFICA ORDINATA'!B53</f>
        <v>Silentium884</v>
      </c>
      <c r="C54" s="84" t="str">
        <f>VLOOKUP(B54,nomi!B:C,2,FALSE)</f>
        <v>TLM_Sile</v>
      </c>
      <c r="D54" s="84" t="str">
        <f>VLOOKUP(B54,nomi!B:G,6,FALSE)</f>
        <v>TLM</v>
      </c>
      <c r="E54" s="12" t="str">
        <f>'CLASSIFICA ORDINATA'!C53</f>
        <v/>
      </c>
      <c r="F54" s="12">
        <f>'CLASSIFICA ORDINATA'!D53</f>
        <v>16</v>
      </c>
      <c r="G54" s="12" t="str">
        <f>'CLASSIFICA ORDINATA'!E53</f>
        <v/>
      </c>
      <c r="H54" s="96">
        <f>'CLASSIFICA ORDINATA'!F53</f>
        <v>16</v>
      </c>
      <c r="I54" s="12" t="str">
        <f>'CLASSIFICA ORDINATA'!G53</f>
        <v/>
      </c>
      <c r="J54" s="12" t="str">
        <f>'CLASSIFICA ORDINATA'!H53</f>
        <v/>
      </c>
      <c r="K54" s="12" t="str">
        <f>'CLASSIFICA ORDINATA'!I53</f>
        <v/>
      </c>
      <c r="L54" s="96" t="str">
        <f>'CLASSIFICA ORDINATA'!J53</f>
        <v/>
      </c>
      <c r="M54" s="12" t="str">
        <f>'CLASSIFICA ORDINATA'!K53</f>
        <v/>
      </c>
      <c r="N54" s="12">
        <f>'CLASSIFICA ORDINATA'!L53</f>
        <v>18</v>
      </c>
      <c r="O54" s="12" t="str">
        <f>'CLASSIFICA ORDINATA'!M53</f>
        <v/>
      </c>
      <c r="P54" s="96">
        <f>'CLASSIFICA ORDINATA'!N53</f>
        <v>18</v>
      </c>
      <c r="Q54" s="12" t="str">
        <f>'CLASSIFICA ORDINATA'!O53</f>
        <v/>
      </c>
      <c r="R54" s="12">
        <f>'CLASSIFICA ORDINATA'!P53</f>
        <v>16</v>
      </c>
      <c r="S54" s="12" t="str">
        <f>'CLASSIFICA ORDINATA'!Q53</f>
        <v/>
      </c>
      <c r="T54" s="96">
        <f>'CLASSIFICA ORDINATA'!R53</f>
        <v>16</v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50</v>
      </c>
    </row>
    <row r="55" spans="1:29" ht="20" customHeight="1" x14ac:dyDescent="0.2">
      <c r="A55" s="88" t="s">
        <v>6</v>
      </c>
      <c r="B55" s="84" t="str">
        <f>'CLASSIFICA ORDINATA'!B54</f>
        <v>Tonyroto74</v>
      </c>
      <c r="C55" s="84" t="str">
        <f>IFERROR(VLOOKUP(B55,nomi!B:C,2,FALSE),"")</f>
        <v>Tonyroto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10</v>
      </c>
      <c r="G55" s="12" t="str">
        <f>'CLASSIFICA ORDINATA'!E54</f>
        <v/>
      </c>
      <c r="H55" s="96">
        <f>'CLASSIFICA ORDINATA'!F54</f>
        <v>10</v>
      </c>
      <c r="I55" s="12" t="str">
        <f>'CLASSIFICA ORDINATA'!G54</f>
        <v/>
      </c>
      <c r="J55" s="12">
        <f>'CLASSIFICA ORDINATA'!H54</f>
        <v>10</v>
      </c>
      <c r="K55" s="12" t="str">
        <f>'CLASSIFICA ORDINATA'!I54</f>
        <v/>
      </c>
      <c r="L55" s="96">
        <f>'CLASSIFICA ORDINATA'!J54</f>
        <v>10</v>
      </c>
      <c r="M55" s="12" t="str">
        <f>'CLASSIFICA ORDINATA'!K54</f>
        <v/>
      </c>
      <c r="N55" s="12">
        <f>'CLASSIFICA ORDINATA'!L54</f>
        <v>12</v>
      </c>
      <c r="O55" s="12" t="str">
        <f>'CLASSIFICA ORDINATA'!M54</f>
        <v/>
      </c>
      <c r="P55" s="96">
        <f>'CLASSIFICA ORDINATA'!N54</f>
        <v>12</v>
      </c>
      <c r="Q55" s="12" t="str">
        <f>'CLASSIFICA ORDINATA'!O54</f>
        <v/>
      </c>
      <c r="R55" s="12">
        <f>'CLASSIFICA ORDINATA'!P54</f>
        <v>14</v>
      </c>
      <c r="S55" s="12" t="str">
        <f>'CLASSIFICA ORDINATA'!Q54</f>
        <v/>
      </c>
      <c r="T55" s="96">
        <f>'CLASSIFICA ORDINATA'!R54</f>
        <v>14</v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46</v>
      </c>
    </row>
    <row r="56" spans="1:29" ht="20" customHeight="1" x14ac:dyDescent="0.2">
      <c r="A56" s="88" t="s">
        <v>7</v>
      </c>
      <c r="B56" s="84" t="str">
        <f>'CLASSIFICA ORDINATA'!B55</f>
        <v>Mikedb__91__</v>
      </c>
      <c r="C56" s="84" t="str">
        <f>VLOOKUP(B56,nomi!B:C,2,FALSE)</f>
        <v>TLM-Mike91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12</v>
      </c>
      <c r="G56" s="12" t="str">
        <f>'CLASSIFICA ORDINATA'!E55</f>
        <v/>
      </c>
      <c r="H56" s="96">
        <f>'CLASSIFICA ORDINATA'!F55</f>
        <v>12</v>
      </c>
      <c r="I56" s="12" t="str">
        <f>'CLASSIFICA ORDINATA'!G55</f>
        <v/>
      </c>
      <c r="J56" s="12">
        <f>'CLASSIFICA ORDINATA'!H55</f>
        <v>14</v>
      </c>
      <c r="K56" s="12" t="str">
        <f>'CLASSIFICA ORDINATA'!I55</f>
        <v/>
      </c>
      <c r="L56" s="96">
        <f>'CLASSIFICA ORDINATA'!J55</f>
        <v>14</v>
      </c>
      <c r="M56" s="12" t="str">
        <f>'CLASSIFICA ORDINATA'!K55</f>
        <v/>
      </c>
      <c r="N56" s="12">
        <f>'CLASSIFICA ORDINATA'!L55</f>
        <v>8</v>
      </c>
      <c r="O56" s="12" t="str">
        <f>'CLASSIFICA ORDINATA'!M55</f>
        <v/>
      </c>
      <c r="P56" s="96">
        <f>'CLASSIFICA ORDINATA'!N55</f>
        <v>8</v>
      </c>
      <c r="Q56" s="12" t="str">
        <f>'CLASSIFICA ORDINATA'!O55</f>
        <v/>
      </c>
      <c r="R56" s="12">
        <f>'CLASSIFICA ORDINATA'!P55</f>
        <v>8</v>
      </c>
      <c r="S56" s="12" t="str">
        <f>'CLASSIFICA ORDINATA'!Q55</f>
        <v/>
      </c>
      <c r="T56" s="96">
        <f>'CLASSIFICA ORDINATA'!R55</f>
        <v>8</v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42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38</v>
      </c>
    </row>
    <row r="58" spans="1:29" ht="20" customHeight="1" x14ac:dyDescent="0.2">
      <c r="A58" s="88" t="s">
        <v>9</v>
      </c>
      <c r="B58" s="84" t="str">
        <f>'CLASSIFICA ORDINATA'!B57</f>
        <v>Dani_CT1946</v>
      </c>
      <c r="C58" s="84" t="str">
        <f>VLOOKUP(B58,nomi!B:C,2,FALSE)</f>
        <v>Danict1946</v>
      </c>
      <c r="D58" s="84" t="str">
        <f>VLOOKUP(B58,nomi!B:G,6,FALSE)</f>
        <v>CSC</v>
      </c>
      <c r="E58" s="12" t="str">
        <f>'CLASSIFICA ORDINATA'!C57</f>
        <v/>
      </c>
      <c r="F58" s="12">
        <f>'CLASSIFICA ORDINATA'!D57</f>
        <v>8</v>
      </c>
      <c r="G58" s="12" t="str">
        <f>'CLASSIFICA ORDINATA'!E57</f>
        <v/>
      </c>
      <c r="H58" s="96">
        <f>'CLASSIFICA ORDINATA'!F57</f>
        <v>8</v>
      </c>
      <c r="I58" s="12" t="str">
        <f>'CLASSIFICA ORDINATA'!G57</f>
        <v/>
      </c>
      <c r="J58" s="12">
        <f>'CLASSIFICA ORDINATA'!H57</f>
        <v>8</v>
      </c>
      <c r="K58" s="12" t="str">
        <f>'CLASSIFICA ORDINATA'!I57</f>
        <v/>
      </c>
      <c r="L58" s="96">
        <f>'CLASSIFICA ORDINATA'!J57</f>
        <v>8</v>
      </c>
      <c r="M58" s="12" t="str">
        <f>'CLASSIFICA ORDINATA'!K57</f>
        <v/>
      </c>
      <c r="N58" s="12" t="str">
        <f>'CLASSIFICA ORDINATA'!L57</f>
        <v/>
      </c>
      <c r="O58" s="12" t="str">
        <f>'CLASSIFICA ORDINATA'!M57</f>
        <v/>
      </c>
      <c r="P58" s="96" t="str">
        <f>'CLASSIFICA ORDINATA'!N57</f>
        <v/>
      </c>
      <c r="Q58" s="12" t="str">
        <f>'CLASSIFICA ORDINATA'!O57</f>
        <v/>
      </c>
      <c r="R58" s="12">
        <f>'CLASSIFICA ORDINATA'!P57</f>
        <v>10</v>
      </c>
      <c r="S58" s="12" t="str">
        <f>'CLASSIFICA ORDINATA'!Q57</f>
        <v/>
      </c>
      <c r="T58" s="96">
        <f>'CLASSIFICA ORDINATA'!R57</f>
        <v>10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26</v>
      </c>
    </row>
    <row r="59" spans="1:29" ht="20" customHeight="1" x14ac:dyDescent="0.2">
      <c r="A59" s="88" t="s">
        <v>10</v>
      </c>
      <c r="B59" s="84" t="str">
        <f>'CLASSIFICA ORDINATA'!B58</f>
        <v>Rikas78</v>
      </c>
      <c r="C59" s="84" t="str">
        <f>VLOOKUP(B59,nomi!B:C,2,FALSE)</f>
        <v>Rikas78</v>
      </c>
      <c r="D59" s="84" t="str">
        <f>VLOOKUP(B59,nomi!B:G,6,FALSE)</f>
        <v>TLMA</v>
      </c>
      <c r="E59" s="12" t="str">
        <f>'CLASSIFICA ORDINATA'!C58</f>
        <v/>
      </c>
      <c r="F59" s="12">
        <f>'CLASSIFICA ORDINATA'!D58</f>
        <v>2</v>
      </c>
      <c r="G59" s="12" t="str">
        <f>'CLASSIFICA ORDINATA'!E58</f>
        <v/>
      </c>
      <c r="H59" s="96">
        <f>'CLASSIFICA ORDINATA'!F58</f>
        <v>2</v>
      </c>
      <c r="I59" s="12" t="str">
        <f>'CLASSIFICA ORDINATA'!G58</f>
        <v/>
      </c>
      <c r="J59" s="12">
        <f>'CLASSIFICA ORDINATA'!H58</f>
        <v>5</v>
      </c>
      <c r="K59" s="12" t="str">
        <f>'CLASSIFICA ORDINATA'!I58</f>
        <v/>
      </c>
      <c r="L59" s="96">
        <f>'CLASSIFICA ORDINATA'!J58</f>
        <v>5</v>
      </c>
      <c r="M59" s="12" t="str">
        <f>'CLASSIFICA ORDINATA'!K58</f>
        <v/>
      </c>
      <c r="N59" s="12">
        <f>'CLASSIFICA ORDINATA'!L58</f>
        <v>6</v>
      </c>
      <c r="O59" s="12" t="str">
        <f>'CLASSIFICA ORDINATA'!M58</f>
        <v/>
      </c>
      <c r="P59" s="96">
        <f>'CLASSIFICA ORDINATA'!N58</f>
        <v>6</v>
      </c>
      <c r="Q59" s="12" t="str">
        <f>'CLASSIFICA ORDINATA'!O58</f>
        <v/>
      </c>
      <c r="R59" s="12">
        <f>'CLASSIFICA ORDINATA'!P58</f>
        <v>4</v>
      </c>
      <c r="S59" s="12" t="str">
        <f>'CLASSIFICA ORDINATA'!Q58</f>
        <v/>
      </c>
      <c r="T59" s="96">
        <f>'CLASSIFICA ORDINATA'!R58</f>
        <v>4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17</v>
      </c>
    </row>
    <row r="60" spans="1:29" ht="20" customHeight="1" x14ac:dyDescent="0.2">
      <c r="A60" s="88" t="s">
        <v>11</v>
      </c>
      <c r="B60" s="84" t="str">
        <f>'CLASSIFICA ORDINATA'!B59</f>
        <v>Costanzo-Mirko90</v>
      </c>
      <c r="C60" s="84" t="str">
        <f>VLOOKUP(B60,nomi!B:C,2,FALSE)</f>
        <v>GTRC M. Costanzo</v>
      </c>
      <c r="D60" s="84" t="str">
        <f>VLOOKUP(B60,nomi!B:G,6,FALSE)</f>
        <v>GTRC</v>
      </c>
      <c r="E60" s="12" t="str">
        <f>'CLASSIFICA ORDINATA'!C59</f>
        <v/>
      </c>
      <c r="F60" s="12">
        <f>'CLASSIFICA ORDINATA'!D59</f>
        <v>4</v>
      </c>
      <c r="G60" s="12" t="str">
        <f>'CLASSIFICA ORDINATA'!E59</f>
        <v/>
      </c>
      <c r="H60" s="96">
        <f>'CLASSIFICA ORDINATA'!F59</f>
        <v>4</v>
      </c>
      <c r="I60" s="12" t="str">
        <f>'CLASSIFICA ORDINATA'!G59</f>
        <v/>
      </c>
      <c r="J60" s="12">
        <f>'CLASSIFICA ORDINATA'!H59</f>
        <v>2</v>
      </c>
      <c r="K60" s="12" t="str">
        <f>'CLASSIFICA ORDINATA'!I59</f>
        <v/>
      </c>
      <c r="L60" s="96">
        <f>'CLASSIFICA ORDINATA'!J59</f>
        <v>2</v>
      </c>
      <c r="M60" s="12" t="str">
        <f>'CLASSIFICA ORDINATA'!K59</f>
        <v/>
      </c>
      <c r="N60" s="12">
        <f>'CLASSIFICA ORDINATA'!L59</f>
        <v>5</v>
      </c>
      <c r="O60" s="12" t="str">
        <f>'CLASSIFICA ORDINATA'!M59</f>
        <v/>
      </c>
      <c r="P60" s="96">
        <f>'CLASSIFICA ORDINATA'!N59</f>
        <v>5</v>
      </c>
      <c r="Q60" s="12" t="str">
        <f>'CLASSIFICA ORDINATA'!O59</f>
        <v/>
      </c>
      <c r="R60" s="12">
        <f>'CLASSIFICA ORDINATA'!P59</f>
        <v>5</v>
      </c>
      <c r="S60" s="12" t="str">
        <f>'CLASSIFICA ORDINATA'!Q59</f>
        <v/>
      </c>
      <c r="T60" s="96">
        <f>'CLASSIFICA ORDINATA'!R59</f>
        <v>5</v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mettiukc</v>
      </c>
      <c r="C61" s="84" t="str">
        <f>VLOOKUP(B61,nomi!B:C,2,FALSE)</f>
        <v>mettiukc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5</v>
      </c>
      <c r="G61" s="12" t="str">
        <f>'CLASSIFICA ORDINATA'!E60</f>
        <v/>
      </c>
      <c r="H61" s="96">
        <f>'CLASSIFICA ORDINATA'!F60</f>
        <v>5</v>
      </c>
      <c r="I61" s="12" t="str">
        <f>'CLASSIFICA ORDINATA'!G60</f>
        <v/>
      </c>
      <c r="J61" s="12">
        <f>'CLASSIFICA ORDINATA'!H60</f>
        <v>3</v>
      </c>
      <c r="K61" s="12" t="str">
        <f>'CLASSIFICA ORDINATA'!I60</f>
        <v/>
      </c>
      <c r="L61" s="96">
        <f>'CLASSIFICA ORDINATA'!J60</f>
        <v>3</v>
      </c>
      <c r="M61" s="12" t="str">
        <f>'CLASSIFICA ORDINATA'!K60</f>
        <v/>
      </c>
      <c r="N61" s="12" t="str">
        <f>'CLASSIFICA ORDINATA'!L60</f>
        <v/>
      </c>
      <c r="O61" s="12" t="str">
        <f>'CLASSIFICA ORDINATA'!M60</f>
        <v/>
      </c>
      <c r="P61" s="96" t="str">
        <f>'CLASSIFICA ORDINATA'!N60</f>
        <v/>
      </c>
      <c r="Q61" s="12" t="str">
        <f>'CLASSIFICA ORDINATA'!O60</f>
        <v/>
      </c>
      <c r="R61" s="12">
        <f>'CLASSIFICA ORDINATA'!P60</f>
        <v>6</v>
      </c>
      <c r="S61" s="12" t="str">
        <f>'CLASSIFICA ORDINATA'!Q60</f>
        <v/>
      </c>
      <c r="T61" s="96">
        <f>'CLASSIFICA ORDINATA'!R60</f>
        <v>6</v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14</v>
      </c>
    </row>
    <row r="62" spans="1:29" ht="20" customHeight="1" x14ac:dyDescent="0.2">
      <c r="A62" s="88" t="s">
        <v>13</v>
      </c>
      <c r="B62" s="84" t="str">
        <f>'CLASSIFICA ORDINATA'!B61</f>
        <v>recidivo92</v>
      </c>
      <c r="C62" s="84" t="str">
        <f>VLOOKUP(B62,nomi!B:C,2,FALSE)</f>
        <v>ReciDivo92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3</v>
      </c>
      <c r="G62" s="12" t="str">
        <f>'CLASSIFICA ORDINATA'!E61</f>
        <v/>
      </c>
      <c r="H62" s="96">
        <f>'CLASSIFICA ORDINATA'!F61</f>
        <v>3</v>
      </c>
      <c r="I62" s="12" t="str">
        <f>'CLASSIFICA ORDINATA'!G61</f>
        <v/>
      </c>
      <c r="J62" s="12">
        <f>'CLASSIFICA ORDINATA'!H61</f>
        <v>6</v>
      </c>
      <c r="K62" s="12" t="str">
        <f>'CLASSIFICA ORDINATA'!I61</f>
        <v/>
      </c>
      <c r="L62" s="96">
        <f>'CLASSIFICA ORDINATA'!J61</f>
        <v>6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9</v>
      </c>
    </row>
    <row r="63" spans="1:29" ht="20" customHeight="1" x14ac:dyDescent="0.2">
      <c r="A63" s="88" t="s">
        <v>20</v>
      </c>
      <c r="B63" s="84" t="str">
        <f>'CLASSIFICA ORDINATA'!B62</f>
        <v/>
      </c>
      <c r="C63" s="84" t="e">
        <f>VLOOKUP(B63,nomi!B:C,2,FALSE)</f>
        <v>#N/A</v>
      </c>
      <c r="D63" s="84" t="e">
        <f>VLOOKUP(B63,nomi!B:G,6,FALSE)</f>
        <v>#N/A</v>
      </c>
      <c r="E63" s="12" t="str">
        <f>'CLASSIFICA ORDINATA'!C62</f>
        <v/>
      </c>
      <c r="F63" s="12" t="str">
        <f>'CLASSIFICA ORDINATA'!D62</f>
        <v/>
      </c>
      <c r="G63" s="12" t="str">
        <f>'CLASSIFICA ORDINATA'!E62</f>
        <v/>
      </c>
      <c r="H63" s="96" t="str">
        <f>'CLASSIFICA ORDINATA'!F62</f>
        <v/>
      </c>
      <c r="I63" s="12" t="str">
        <f>'CLASSIFICA ORDINATA'!G62</f>
        <v/>
      </c>
      <c r="J63" s="12" t="str">
        <f>'CLASSIFICA ORDINATA'!H62</f>
        <v/>
      </c>
      <c r="K63" s="12" t="str">
        <f>'CLASSIFICA ORDINATA'!I62</f>
        <v/>
      </c>
      <c r="L63" s="96" t="str">
        <f>'CLASSIFICA ORDINATA'!J62</f>
        <v/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 t="str">
        <f>'CLASSIFICA ORDINATA'!AA62</f>
        <v/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107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102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96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95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80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74</v>
      </c>
    </row>
    <row r="75" spans="1:29" ht="20" customHeight="1" x14ac:dyDescent="0.25">
      <c r="A75" s="89">
        <v>7</v>
      </c>
      <c r="B75" s="75" t="str">
        <f>'CLASSIFICA ORDINATA'!B74</f>
        <v>TLM_SKIZZO 34</v>
      </c>
      <c r="C75" s="76" t="str">
        <f>VLOOKUP(B75,nomi!B:C,2,FALSE)</f>
        <v>TLM_SKIIZZO 34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16</v>
      </c>
      <c r="G75" s="12" t="str">
        <f>'CLASSIFICA ORDINATA'!E74</f>
        <v/>
      </c>
      <c r="H75" s="96">
        <f>'CLASSIFICA ORDINATA'!F74</f>
        <v>16</v>
      </c>
      <c r="I75" s="12" t="str">
        <f>'CLASSIFICA ORDINATA'!G74</f>
        <v/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18</v>
      </c>
      <c r="M75" s="12" t="str">
        <f>'CLASSIFICA ORDINATA'!K74</f>
        <v/>
      </c>
      <c r="N75" s="12">
        <f>'CLASSIFICA ORDINATA'!L74</f>
        <v>18</v>
      </c>
      <c r="O75" s="12">
        <f>'CLASSIFICA ORDINATA'!M74</f>
        <v>1</v>
      </c>
      <c r="P75" s="96">
        <f>'CLASSIFICA ORDINATA'!N74</f>
        <v>19</v>
      </c>
      <c r="Q75" s="12" t="str">
        <f>'CLASSIFICA ORDINATA'!O74</f>
        <v/>
      </c>
      <c r="R75" s="12">
        <f>'CLASSIFICA ORDINATA'!P74</f>
        <v>14</v>
      </c>
      <c r="S75" s="12" t="str">
        <f>'CLASSIFICA ORDINATA'!Q74</f>
        <v/>
      </c>
      <c r="T75" s="96">
        <f>'CLASSIFICA ORDINATA'!R74</f>
        <v>14</v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67</v>
      </c>
    </row>
    <row r="76" spans="1:29" ht="20" customHeight="1" x14ac:dyDescent="0.25">
      <c r="A76" s="89">
        <v>8</v>
      </c>
      <c r="B76" s="75" t="str">
        <f>'CLASSIFICA ORDINATA'!B75</f>
        <v>andvea_99</v>
      </c>
      <c r="C76" s="76" t="str">
        <f>VLOOKUP(B76,nomi!B:C,2,FALSE)</f>
        <v>TLM_andvea99</v>
      </c>
      <c r="D76" s="76" t="str">
        <f>VLOOKUP(B76,nomi!B:G,6,FALSE)</f>
        <v>TLM</v>
      </c>
      <c r="E76" s="12" t="str">
        <f>'CLASSIFICA ORDINATA'!C75</f>
        <v/>
      </c>
      <c r="F76" s="12" t="str">
        <f>'CLASSIFICA ORDINATA'!D75</f>
        <v/>
      </c>
      <c r="G76" s="12" t="str">
        <f>'CLASSIFICA ORDINATA'!E75</f>
        <v/>
      </c>
      <c r="H76" s="96" t="str">
        <f>'CLASSIFICA ORDINATA'!F75</f>
        <v/>
      </c>
      <c r="I76" s="12" t="str">
        <f>'CLASSIFICA ORDINATA'!G75</f>
        <v/>
      </c>
      <c r="J76" s="12">
        <f>'CLASSIFICA ORDINATA'!H75</f>
        <v>20</v>
      </c>
      <c r="K76" s="12" t="str">
        <f>'CLASSIFICA ORDINATA'!I75</f>
        <v/>
      </c>
      <c r="L76" s="96">
        <f>'CLASSIFICA ORDINATA'!J75</f>
        <v>20</v>
      </c>
      <c r="M76" s="12" t="str">
        <f>'CLASSIFICA ORDINATA'!K75</f>
        <v/>
      </c>
      <c r="N76" s="12">
        <f>'CLASSIFICA ORDINATA'!L75</f>
        <v>20</v>
      </c>
      <c r="O76" s="12" t="str">
        <f>'CLASSIFICA ORDINATA'!M75</f>
        <v/>
      </c>
      <c r="P76" s="96">
        <f>'CLASSIFICA ORDINATA'!N75</f>
        <v>20</v>
      </c>
      <c r="Q76" s="12" t="str">
        <f>'CLASSIFICA ORDINATA'!O75</f>
        <v/>
      </c>
      <c r="R76" s="12">
        <f>'CLASSIFICA ORDINATA'!P75</f>
        <v>25</v>
      </c>
      <c r="S76" s="12">
        <f>'CLASSIFICA ORDINATA'!Q75</f>
        <v>1</v>
      </c>
      <c r="T76" s="96">
        <f>'CLASSIFICA ORDINATA'!R75</f>
        <v>26</v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66</v>
      </c>
    </row>
    <row r="77" spans="1:29" ht="20" customHeight="1" x14ac:dyDescent="0.25">
      <c r="A77" s="89">
        <v>9</v>
      </c>
      <c r="B77" s="75" t="str">
        <f>'CLASSIFICA ORDINATA'!B76</f>
        <v>TLM_Kappa</v>
      </c>
      <c r="C77" s="76" t="str">
        <f>VLOOKUP(B77,nomi!B:C,2,FALSE)</f>
        <v>TLM_Kappa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10</v>
      </c>
      <c r="K77" s="12" t="str">
        <f>'CLASSIFICA ORDINATA'!I76</f>
        <v/>
      </c>
      <c r="L77" s="96">
        <f>'CLASSIFICA ORDINATA'!J76</f>
        <v>10</v>
      </c>
      <c r="M77" s="12" t="str">
        <f>'CLASSIFICA ORDINATA'!K76</f>
        <v/>
      </c>
      <c r="N77" s="12">
        <f>'CLASSIFICA ORDINATA'!L76</f>
        <v>18</v>
      </c>
      <c r="O77" s="12" t="str">
        <f>'CLASSIFICA ORDINATA'!M76</f>
        <v/>
      </c>
      <c r="P77" s="96">
        <f>'CLASSIFICA ORDINATA'!N76</f>
        <v>18</v>
      </c>
      <c r="Q77" s="12" t="str">
        <f>'CLASSIFICA ORDINATA'!O76</f>
        <v/>
      </c>
      <c r="R77" s="12">
        <f>'CLASSIFICA ORDINATA'!P76</f>
        <v>18</v>
      </c>
      <c r="S77" s="12" t="str">
        <f>'CLASSIFICA ORDINATA'!Q76</f>
        <v/>
      </c>
      <c r="T77" s="96">
        <f>'CLASSIFICA ORDINATA'!R76</f>
        <v>18</v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66</v>
      </c>
    </row>
    <row r="78" spans="1:29" ht="20" customHeight="1" x14ac:dyDescent="0.25">
      <c r="A78" s="89">
        <v>10</v>
      </c>
      <c r="B78" s="75" t="str">
        <f>'CLASSIFICA ORDINATA'!B77</f>
        <v>TLM_wid83</v>
      </c>
      <c r="C78" s="76" t="str">
        <f>VLOOKUP(B78,nomi!B:C,2,FALSE)</f>
        <v>TLM_wid83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18</v>
      </c>
      <c r="G78" s="12" t="str">
        <f>'CLASSIFICA ORDINATA'!E77</f>
        <v/>
      </c>
      <c r="H78" s="96">
        <f>'CLASSIFICA ORDINATA'!F77</f>
        <v>18</v>
      </c>
      <c r="I78" s="12" t="str">
        <f>'CLASSIFICA ORDINATA'!G77</f>
        <v/>
      </c>
      <c r="J78" s="12">
        <f>'CLASSIFICA ORDINATA'!H77</f>
        <v>12</v>
      </c>
      <c r="K78" s="12" t="str">
        <f>'CLASSIFICA ORDINATA'!I77</f>
        <v/>
      </c>
      <c r="L78" s="96">
        <f>'CLASSIFICA ORDINATA'!J77</f>
        <v>12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>
        <f>'CLASSIFICA ORDINATA'!P77</f>
        <v>20</v>
      </c>
      <c r="S78" s="12" t="str">
        <f>'CLASSIFICA ORDINATA'!Q77</f>
        <v/>
      </c>
      <c r="T78" s="96">
        <f>'CLASSIFICA ORDINATA'!R77</f>
        <v>20</v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66</v>
      </c>
    </row>
    <row r="79" spans="1:29" ht="20" customHeight="1" x14ac:dyDescent="0.25">
      <c r="A79" s="89">
        <v>11</v>
      </c>
      <c r="B79" s="75" t="str">
        <f>'CLASSIFICA ORDINATA'!B78</f>
        <v>Buitre83GT</v>
      </c>
      <c r="C79" s="76" t="str">
        <f>VLOOKUP(B79,nomi!B:C,2,FALSE)</f>
        <v>TLM_Proietti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14</v>
      </c>
      <c r="G79" s="12" t="str">
        <f>'CLASSIFICA ORDINATA'!E78</f>
        <v/>
      </c>
      <c r="H79" s="96">
        <f>'CLASSIFICA ORDINATA'!F78</f>
        <v>14</v>
      </c>
      <c r="I79" s="12">
        <f>'CLASSIFICA ORDINATA'!G78</f>
        <v>1</v>
      </c>
      <c r="J79" s="12">
        <f>'CLASSIFICA ORDINATA'!H78</f>
        <v>18</v>
      </c>
      <c r="K79" s="12" t="str">
        <f>'CLASSIFICA ORDINATA'!I78</f>
        <v/>
      </c>
      <c r="L79" s="96">
        <f>'CLASSIFICA ORDINATA'!J78</f>
        <v>19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>
        <f>'CLASSIFICA ORDINATA'!P78</f>
        <v>16</v>
      </c>
      <c r="S79" s="12" t="str">
        <f>'CLASSIFICA ORDINATA'!Q78</f>
        <v/>
      </c>
      <c r="T79" s="96">
        <f>'CLASSIFICA ORDINATA'!R78</f>
        <v>16</v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65</v>
      </c>
    </row>
    <row r="80" spans="1:29" ht="20" customHeight="1" x14ac:dyDescent="0.25">
      <c r="A80" s="89">
        <v>12</v>
      </c>
      <c r="B80" s="75" t="str">
        <f>'CLASSIFICA ORDINATA'!B79</f>
        <v>X-Gianni-</v>
      </c>
      <c r="C80" s="76" t="str">
        <f>VLOOKUP(B80,nomi!B:C,2,FALSE)</f>
        <v>GTRC-X-Gianni-</v>
      </c>
      <c r="D80" s="76" t="str">
        <f>VLOOKUP(B80,nomi!B:G,6,FALSE)</f>
        <v>GTRC</v>
      </c>
      <c r="E80" s="12" t="str">
        <f>'CLASSIFICA ORDINATA'!C79</f>
        <v/>
      </c>
      <c r="F80" s="12">
        <f>'CLASSIFICA ORDINATA'!D79</f>
        <v>18</v>
      </c>
      <c r="G80" s="12" t="str">
        <f>'CLASSIFICA ORDINATA'!E79</f>
        <v/>
      </c>
      <c r="H80" s="96">
        <f>'CLASSIFICA ORDINATA'!F79</f>
        <v>18</v>
      </c>
      <c r="I80" s="12" t="str">
        <f>'CLASSIFICA ORDINATA'!G79</f>
        <v/>
      </c>
      <c r="J80" s="12">
        <f>'CLASSIFICA ORDINATA'!H79</f>
        <v>12</v>
      </c>
      <c r="K80" s="12" t="str">
        <f>'CLASSIFICA ORDINATA'!I79</f>
        <v/>
      </c>
      <c r="L80" s="96">
        <f>'CLASSIFICA ORDINATA'!J79</f>
        <v>12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>
        <f>'CLASSIFICA ORDINATA'!P79</f>
        <v>20</v>
      </c>
      <c r="S80" s="12" t="str">
        <f>'CLASSIFICA ORDINATA'!Q79</f>
        <v/>
      </c>
      <c r="T80" s="96">
        <f>'CLASSIFICA ORDINATA'!R79</f>
        <v>20</v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64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59</v>
      </c>
    </row>
    <row r="82" spans="1:29" ht="20" customHeight="1" thickBot="1" x14ac:dyDescent="0.3">
      <c r="A82" s="90">
        <v>14</v>
      </c>
      <c r="B82" s="77" t="str">
        <f>'CLASSIFICA ORDINATA'!B81</f>
        <v>RMT_GEFF-21</v>
      </c>
      <c r="C82" s="78" t="str">
        <f>VLOOKUP(B82,nomi!B:C,2,FALSE)</f>
        <v>DIEGHITO BOSS</v>
      </c>
      <c r="D82" s="78" t="str">
        <f>VLOOKUP(B82,nomi!B:G,6,FALSE)</f>
        <v>RMT</v>
      </c>
      <c r="E82" s="12" t="str">
        <f>'CLASSIFICA ORDINATA'!C81</f>
        <v/>
      </c>
      <c r="F82" s="12">
        <f>'CLASSIFICA ORDINATA'!D81</f>
        <v>14</v>
      </c>
      <c r="G82" s="12" t="str">
        <f>'CLASSIFICA ORDINATA'!E81</f>
        <v/>
      </c>
      <c r="H82" s="96">
        <f>'CLASSIFICA ORDINATA'!F81</f>
        <v>14</v>
      </c>
      <c r="I82" s="12" t="str">
        <f>'CLASSIFICA ORDINATA'!G81</f>
        <v/>
      </c>
      <c r="J82" s="12">
        <f>'CLASSIFICA ORDINATA'!H81</f>
        <v>16</v>
      </c>
      <c r="K82" s="12" t="str">
        <f>'CLASSIFICA ORDINATA'!I81</f>
        <v/>
      </c>
      <c r="L82" s="96">
        <f>'CLASSIFICA ORDINATA'!J81</f>
        <v>16</v>
      </c>
      <c r="M82" s="12" t="str">
        <f>'CLASSIFICA ORDINATA'!K81</f>
        <v/>
      </c>
      <c r="N82" s="12">
        <f>'CLASSIFICA ORDINATA'!L81</f>
        <v>10</v>
      </c>
      <c r="O82" s="12" t="str">
        <f>'CLASSIFICA ORDINATA'!M81</f>
        <v/>
      </c>
      <c r="P82" s="96">
        <f>'CLASSIFICA ORDINATA'!N81</f>
        <v>10</v>
      </c>
      <c r="Q82" s="12" t="str">
        <f>'CLASSIFICA ORDINATA'!O81</f>
        <v/>
      </c>
      <c r="R82" s="12">
        <f>'CLASSIFICA ORDINATA'!P81</f>
        <v>18</v>
      </c>
      <c r="S82" s="12" t="str">
        <f>'CLASSIFICA ORDINATA'!Q81</f>
        <v/>
      </c>
      <c r="T82" s="96">
        <f>'CLASSIFICA ORDINATA'!R81</f>
        <v>18</v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58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14</v>
      </c>
      <c r="S83" s="12" t="str">
        <f>'CLASSIFICA ORDINATA'!Q82</f>
        <v/>
      </c>
      <c r="T83" s="96">
        <f>'CLASSIFICA ORDINATA'!R82</f>
        <v>14</v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56</v>
      </c>
    </row>
    <row r="84" spans="1:29" ht="20" customHeight="1" x14ac:dyDescent="0.25">
      <c r="A84" s="92">
        <v>16</v>
      </c>
      <c r="B84" s="95" t="str">
        <f>'CLASSIFICA ORDINATA'!B83</f>
        <v>GTRC_Frenkmik93</v>
      </c>
      <c r="C84" s="84" t="str">
        <f>VLOOKUP(B84,nomi!B:C,2,FALSE)</f>
        <v>GTRC_FrenkMik93</v>
      </c>
      <c r="D84" s="84" t="str">
        <f>VLOOKUP(B84,nomi!B:G,6,FALSE)</f>
        <v>GTRC</v>
      </c>
      <c r="E84" s="12" t="str">
        <f>'CLASSIFICA ORDINATA'!C83</f>
        <v/>
      </c>
      <c r="F84" s="12">
        <f>'CLASSIFICA ORDINATA'!D83</f>
        <v>12</v>
      </c>
      <c r="G84" s="12">
        <f>'CLASSIFICA ORDINATA'!E83</f>
        <v>1</v>
      </c>
      <c r="H84" s="96">
        <f>'CLASSIFICA ORDINATA'!F83</f>
        <v>13</v>
      </c>
      <c r="I84" s="12" t="str">
        <f>'CLASSIFICA ORDINATA'!G83</f>
        <v/>
      </c>
      <c r="J84" s="12">
        <f>'CLASSIFICA ORDINATA'!H83</f>
        <v>12</v>
      </c>
      <c r="K84" s="12" t="str">
        <f>'CLASSIFICA ORDINATA'!I83</f>
        <v/>
      </c>
      <c r="L84" s="96">
        <f>'CLASSIFICA ORDINATA'!J83</f>
        <v>12</v>
      </c>
      <c r="M84" s="12" t="str">
        <f>'CLASSIFICA ORDINATA'!K83</f>
        <v/>
      </c>
      <c r="N84" s="12">
        <f>'CLASSIFICA ORDINATA'!L83</f>
        <v>12</v>
      </c>
      <c r="O84" s="12" t="str">
        <f>'CLASSIFICA ORDINATA'!M83</f>
        <v/>
      </c>
      <c r="P84" s="96">
        <f>'CLASSIFICA ORDINATA'!N83</f>
        <v>12</v>
      </c>
      <c r="Q84" s="12" t="str">
        <f>'CLASSIFICA ORDINATA'!O83</f>
        <v/>
      </c>
      <c r="R84" s="12">
        <f>'CLASSIFICA ORDINATA'!P83</f>
        <v>18</v>
      </c>
      <c r="S84" s="12" t="str">
        <f>'CLASSIFICA ORDINATA'!Q83</f>
        <v/>
      </c>
      <c r="T84" s="96">
        <f>'CLASSIFICA ORDINATA'!R83</f>
        <v>18</v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55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>
        <f>'CLASSIFICA ORDINATA'!O84</f>
        <v>1</v>
      </c>
      <c r="R85" s="12">
        <f>'CLASSIFICA ORDINATA'!P84</f>
        <v>12</v>
      </c>
      <c r="S85" s="12" t="str">
        <f>'CLASSIFICA ORDINATA'!Q84</f>
        <v/>
      </c>
      <c r="T85" s="96">
        <f>'CLASSIFICA ORDINATA'!R84</f>
        <v>13</v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54</v>
      </c>
    </row>
    <row r="86" spans="1:29" ht="20" customHeight="1" x14ac:dyDescent="0.25">
      <c r="A86" s="92">
        <v>18</v>
      </c>
      <c r="B86" s="95" t="str">
        <f>'CLASSIFICA ORDINATA'!B85</f>
        <v>CORNAZZAI73</v>
      </c>
      <c r="C86" s="84" t="str">
        <f>VLOOKUP(B86,nomi!B:C,2,FALSE)</f>
        <v>GTID_Cornazzai73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16</v>
      </c>
      <c r="G86" s="12" t="str">
        <f>'CLASSIFICA ORDINATA'!E85</f>
        <v/>
      </c>
      <c r="H86" s="96">
        <f>'CLASSIFICA ORDINATA'!F85</f>
        <v>16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14</v>
      </c>
      <c r="O86" s="12" t="str">
        <f>'CLASSIFICA ORDINATA'!M85</f>
        <v/>
      </c>
      <c r="P86" s="96">
        <f>'CLASSIFICA ORDINATA'!N85</f>
        <v>14</v>
      </c>
      <c r="Q86" s="12" t="str">
        <f>'CLASSIFICA ORDINATA'!O85</f>
        <v/>
      </c>
      <c r="R86" s="12">
        <f>'CLASSIFICA ORDINATA'!P85</f>
        <v>6</v>
      </c>
      <c r="S86" s="12" t="str">
        <f>'CLASSIFICA ORDINATA'!Q85</f>
        <v/>
      </c>
      <c r="T86" s="96">
        <f>'CLASSIFICA ORDINATA'!R85</f>
        <v>6</v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50</v>
      </c>
    </row>
    <row r="87" spans="1:29" ht="20" customHeight="1" x14ac:dyDescent="0.25">
      <c r="A87" s="92">
        <v>19</v>
      </c>
      <c r="B87" s="95" t="str">
        <f>'CLASSIFICA ORDINATA'!B86</f>
        <v>xRUA85x</v>
      </c>
      <c r="C87" s="84" t="str">
        <f>VLOOKUP(B87,nomi!B:C,2,FALSE)</f>
        <v>TLM_Le Rua’</v>
      </c>
      <c r="D87" s="84" t="str">
        <f>VLOOKUP(B87,nomi!B:G,6,FALSE)</f>
        <v>TLM</v>
      </c>
      <c r="E87" s="12" t="str">
        <f>'CLASSIFICA ORDINATA'!C86</f>
        <v/>
      </c>
      <c r="F87" s="12">
        <f>'CLASSIFICA ORDINATA'!D86</f>
        <v>12</v>
      </c>
      <c r="G87" s="12" t="str">
        <f>'CLASSIFICA ORDINATA'!E86</f>
        <v/>
      </c>
      <c r="H87" s="96">
        <f>'CLASSIFICA ORDINATA'!F86</f>
        <v>12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14</v>
      </c>
      <c r="O87" s="12" t="str">
        <f>'CLASSIFICA ORDINATA'!M86</f>
        <v/>
      </c>
      <c r="P87" s="96">
        <f>'CLASSIFICA ORDINATA'!N86</f>
        <v>14</v>
      </c>
      <c r="Q87" s="12" t="str">
        <f>'CLASSIFICA ORDINATA'!O86</f>
        <v/>
      </c>
      <c r="R87" s="12">
        <f>'CLASSIFICA ORDINATA'!P86</f>
        <v>8</v>
      </c>
      <c r="S87" s="12" t="str">
        <f>'CLASSIFICA ORDINATA'!Q86</f>
        <v/>
      </c>
      <c r="T87" s="96">
        <f>'CLASSIFICA ORDINATA'!R86</f>
        <v>8</v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50</v>
      </c>
    </row>
    <row r="88" spans="1:29" ht="20" customHeight="1" x14ac:dyDescent="0.25">
      <c r="A88" s="92">
        <v>20</v>
      </c>
      <c r="B88" s="95" t="str">
        <f>'CLASSIFICA ORDINATA'!B87</f>
        <v>Silentium884</v>
      </c>
      <c r="C88" s="84" t="str">
        <f>VLOOKUP(B88,nomi!B:C,2,FALSE)</f>
        <v>TLM_Sile</v>
      </c>
      <c r="D88" s="84" t="str">
        <f>VLOOKUP(B88,nomi!B:G,6,FALSE)</f>
        <v>TLM</v>
      </c>
      <c r="E88" s="12" t="str">
        <f>'CLASSIFICA ORDINATA'!C87</f>
        <v/>
      </c>
      <c r="F88" s="12">
        <f>'CLASSIFICA ORDINATA'!D87</f>
        <v>16</v>
      </c>
      <c r="G88" s="12" t="str">
        <f>'CLASSIFICA ORDINATA'!E87</f>
        <v/>
      </c>
      <c r="H88" s="96">
        <f>'CLASSIFICA ORDINATA'!F87</f>
        <v>16</v>
      </c>
      <c r="I88" s="12" t="str">
        <f>'CLASSIFICA ORDINATA'!G87</f>
        <v/>
      </c>
      <c r="J88" s="12" t="str">
        <f>'CLASSIFICA ORDINATA'!H87</f>
        <v/>
      </c>
      <c r="K88" s="12" t="str">
        <f>'CLASSIFICA ORDINATA'!I87</f>
        <v/>
      </c>
      <c r="L88" s="96" t="str">
        <f>'CLASSIFICA ORDINATA'!J87</f>
        <v/>
      </c>
      <c r="M88" s="12" t="str">
        <f>'CLASSIFICA ORDINATA'!K87</f>
        <v/>
      </c>
      <c r="N88" s="12">
        <f>'CLASSIFICA ORDINATA'!L87</f>
        <v>18</v>
      </c>
      <c r="O88" s="12" t="str">
        <f>'CLASSIFICA ORDINATA'!M87</f>
        <v/>
      </c>
      <c r="P88" s="96">
        <f>'CLASSIFICA ORDINATA'!N87</f>
        <v>18</v>
      </c>
      <c r="Q88" s="12" t="str">
        <f>'CLASSIFICA ORDINATA'!O87</f>
        <v/>
      </c>
      <c r="R88" s="12">
        <f>'CLASSIFICA ORDINATA'!P87</f>
        <v>16</v>
      </c>
      <c r="S88" s="12" t="str">
        <f>'CLASSIFICA ORDINATA'!Q87</f>
        <v/>
      </c>
      <c r="T88" s="96">
        <f>'CLASSIFICA ORDINATA'!R87</f>
        <v>16</v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50</v>
      </c>
    </row>
    <row r="89" spans="1:29" ht="20" customHeight="1" x14ac:dyDescent="0.25">
      <c r="A89" s="92">
        <v>21</v>
      </c>
      <c r="B89" s="95" t="str">
        <f>'CLASSIFICA ORDINATA'!B88</f>
        <v>TheGuarny</v>
      </c>
      <c r="C89" s="84" t="str">
        <f>VLOOKUP(B89,nomi!B:C,2,FALSE)</f>
        <v>TLM_TheGuarny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20</v>
      </c>
      <c r="G89" s="12" t="str">
        <f>'CLASSIFICA ORDINATA'!E88</f>
        <v/>
      </c>
      <c r="H89" s="96">
        <f>'CLASSIFICA ORDINATA'!F88</f>
        <v>20</v>
      </c>
      <c r="I89" s="12" t="str">
        <f>'CLASSIFICA ORDINATA'!G88</f>
        <v/>
      </c>
      <c r="J89" s="12">
        <f>'CLASSIFICA ORDINATA'!H88</f>
        <v>14</v>
      </c>
      <c r="K89" s="12" t="str">
        <f>'CLASSIFICA ORDINATA'!I88</f>
        <v/>
      </c>
      <c r="L89" s="96">
        <f>'CLASSIFICA ORDINATA'!J88</f>
        <v>14</v>
      </c>
      <c r="M89" s="12" t="str">
        <f>'CLASSIFICA ORDINATA'!K88</f>
        <v/>
      </c>
      <c r="N89" s="12">
        <f>'CLASSIFICA ORDINATA'!L88</f>
        <v>14</v>
      </c>
      <c r="O89" s="12" t="str">
        <f>'CLASSIFICA ORDINATA'!M88</f>
        <v/>
      </c>
      <c r="P89" s="96">
        <f>'CLASSIFICA ORDINATA'!N88</f>
        <v>14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48</v>
      </c>
    </row>
    <row r="90" spans="1:29" ht="20" customHeight="1" x14ac:dyDescent="0.25">
      <c r="A90" s="92">
        <v>22</v>
      </c>
      <c r="B90" s="95" t="str">
        <f>'CLASSIFICA ORDINATA'!B89</f>
        <v>Tonyroto74</v>
      </c>
      <c r="C90" s="84" t="str">
        <f>VLOOKUP(B90,nomi!B:C,2,FALSE)</f>
        <v>Tonyroto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10</v>
      </c>
      <c r="K90" s="12" t="str">
        <f>'CLASSIFICA ORDINATA'!I89</f>
        <v/>
      </c>
      <c r="L90" s="96">
        <f>'CLASSIFICA ORDINATA'!J89</f>
        <v>10</v>
      </c>
      <c r="M90" s="12" t="str">
        <f>'CLASSIFICA ORDINATA'!K89</f>
        <v/>
      </c>
      <c r="N90" s="12">
        <f>'CLASSIFICA ORDINATA'!L89</f>
        <v>12</v>
      </c>
      <c r="O90" s="12" t="str">
        <f>'CLASSIFICA ORDINATA'!M89</f>
        <v/>
      </c>
      <c r="P90" s="96">
        <f>'CLASSIFICA ORDINATA'!N89</f>
        <v>12</v>
      </c>
      <c r="Q90" s="12" t="str">
        <f>'CLASSIFICA ORDINATA'!O89</f>
        <v/>
      </c>
      <c r="R90" s="12">
        <f>'CLASSIFICA ORDINATA'!P89</f>
        <v>14</v>
      </c>
      <c r="S90" s="12" t="str">
        <f>'CLASSIFICA ORDINATA'!Q89</f>
        <v/>
      </c>
      <c r="T90" s="96">
        <f>'CLASSIFICA ORDINATA'!R89</f>
        <v>14</v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46</v>
      </c>
    </row>
    <row r="91" spans="1:29" ht="20" customHeight="1" x14ac:dyDescent="0.25">
      <c r="A91" s="92">
        <v>23</v>
      </c>
      <c r="B91" s="95" t="str">
        <f>'CLASSIFICA ORDINATA'!B90</f>
        <v>TLM_Sicily22</v>
      </c>
      <c r="C91" s="84" t="str">
        <f>VLOOKUP(B91,nomi!B:C,2,FALSE)</f>
        <v>M.Di Bartolo</v>
      </c>
      <c r="D91" s="84" t="str">
        <f>VLOOKUP(B91,nomi!B:G,6,FALSE)</f>
        <v>TLM</v>
      </c>
      <c r="E91" s="12" t="str">
        <f>'CLASSIFICA ORDINATA'!C90</f>
        <v/>
      </c>
      <c r="F91" s="12" t="str">
        <f>'CLASSIFICA ORDINATA'!D90</f>
        <v/>
      </c>
      <c r="G91" s="12" t="str">
        <f>'CLASSIFICA ORDINATA'!E90</f>
        <v/>
      </c>
      <c r="H91" s="96" t="str">
        <f>'CLASSIFICA ORDINATA'!F90</f>
        <v/>
      </c>
      <c r="I91" s="12" t="str">
        <f>'CLASSIFICA ORDINATA'!G90</f>
        <v/>
      </c>
      <c r="J91" s="12">
        <f>'CLASSIFICA ORDINATA'!H90</f>
        <v>18</v>
      </c>
      <c r="K91" s="12" t="str">
        <f>'CLASSIFICA ORDINATA'!I90</f>
        <v/>
      </c>
      <c r="L91" s="96">
        <f>'CLASSIFICA ORDINATA'!J90</f>
        <v>18</v>
      </c>
      <c r="M91" s="12" t="str">
        <f>'CLASSIFICA ORDINATA'!K90</f>
        <v/>
      </c>
      <c r="N91" s="12">
        <f>'CLASSIFICA ORDINATA'!L90</f>
        <v>12</v>
      </c>
      <c r="O91" s="12" t="str">
        <f>'CLASSIFICA ORDINATA'!M90</f>
        <v/>
      </c>
      <c r="P91" s="96">
        <f>'CLASSIFICA ORDINATA'!N90</f>
        <v>12</v>
      </c>
      <c r="Q91" s="12" t="str">
        <f>'CLASSIFICA ORDINATA'!O90</f>
        <v/>
      </c>
      <c r="R91" s="12">
        <f>'CLASSIFICA ORDINATA'!P90</f>
        <v>12</v>
      </c>
      <c r="S91" s="12" t="str">
        <f>'CLASSIFICA ORDINATA'!Q90</f>
        <v/>
      </c>
      <c r="T91" s="96">
        <f>'CLASSIFICA ORDINATA'!R90</f>
        <v>12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42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>
        <f>'CLASSIFICA ORDINATA'!P91</f>
        <v>8</v>
      </c>
      <c r="S92" s="12" t="str">
        <f>'CLASSIFICA ORDINATA'!Q91</f>
        <v/>
      </c>
      <c r="T92" s="96">
        <f>'CLASSIFICA ORDINATA'!R91</f>
        <v>8</v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42</v>
      </c>
    </row>
    <row r="93" spans="1:29" ht="20" customHeight="1" x14ac:dyDescent="0.25">
      <c r="A93" s="92">
        <v>25</v>
      </c>
      <c r="B93" s="95" t="str">
        <f>'CLASSIFICA ORDINATA'!B92</f>
        <v>Mikedb__91__</v>
      </c>
      <c r="C93" s="84" t="str">
        <f>VLOOKUP(B93,nomi!B:C,2,FALSE)</f>
        <v>TLM-Mike91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12</v>
      </c>
      <c r="G93" s="12" t="str">
        <f>'CLASSIFICA ORDINATA'!E92</f>
        <v/>
      </c>
      <c r="H93" s="96">
        <f>'CLASSIFICA ORDINATA'!F92</f>
        <v>12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8</v>
      </c>
      <c r="O93" s="12" t="str">
        <f>'CLASSIFICA ORDINATA'!M92</f>
        <v/>
      </c>
      <c r="P93" s="96">
        <f>'CLASSIFICA ORDINATA'!N92</f>
        <v>8</v>
      </c>
      <c r="Q93" s="12" t="str">
        <f>'CLASSIFICA ORDINATA'!O92</f>
        <v/>
      </c>
      <c r="R93" s="12">
        <f>'CLASSIFICA ORDINATA'!P92</f>
        <v>8</v>
      </c>
      <c r="S93" s="12" t="str">
        <f>'CLASSIFICA ORDINATA'!Q92</f>
        <v/>
      </c>
      <c r="T93" s="96">
        <f>'CLASSIFICA ORDINATA'!R92</f>
        <v>8</v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42</v>
      </c>
    </row>
    <row r="94" spans="1:29" ht="20" customHeight="1" x14ac:dyDescent="0.25">
      <c r="A94" s="92">
        <v>26</v>
      </c>
      <c r="B94" s="95" t="str">
        <f>'CLASSIFICA ORDINATA'!B93</f>
        <v>TLM_michaelfox12</v>
      </c>
      <c r="C94" s="84" t="str">
        <f>VLOOKUP(B94,nomi!B:C,2,FALSE)</f>
        <v>TLM_michaelfox12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12</v>
      </c>
      <c r="K94" s="12" t="str">
        <f>'CLASSIFICA ORDINATA'!I93</f>
        <v/>
      </c>
      <c r="L94" s="96">
        <f>'CLASSIFICA ORDINATA'!J93</f>
        <v>12</v>
      </c>
      <c r="M94" s="12" t="str">
        <f>'CLASSIFICA ORDINATA'!K93</f>
        <v/>
      </c>
      <c r="N94" s="12">
        <f>'CLASSIFICA ORDINATA'!L93</f>
        <v>16</v>
      </c>
      <c r="O94" s="12" t="str">
        <f>'CLASSIFICA ORDINATA'!M93</f>
        <v/>
      </c>
      <c r="P94" s="96">
        <f>'CLASSIFICA ORDINATA'!N93</f>
        <v>16</v>
      </c>
      <c r="Q94" s="12" t="str">
        <f>'CLASSIFICA ORDINATA'!O93</f>
        <v/>
      </c>
      <c r="R94" s="12">
        <f>'CLASSIFICA ORDINATA'!P93</f>
        <v>5</v>
      </c>
      <c r="S94" s="12" t="str">
        <f>'CLASSIFICA ORDINATA'!Q93</f>
        <v/>
      </c>
      <c r="T94" s="96">
        <f>'CLASSIFICA ORDINATA'!R93</f>
        <v>5</v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39</v>
      </c>
    </row>
    <row r="95" spans="1:29" ht="20" customHeight="1" x14ac:dyDescent="0.25">
      <c r="A95" s="92">
        <v>27</v>
      </c>
      <c r="B95" s="95" t="str">
        <f>'CLASSIFICA ORDINATA'!B94</f>
        <v>jet_morello</v>
      </c>
      <c r="C95" s="84" t="str">
        <f>VLOOKUP(B95,nomi!B:C,2,FALSE)</f>
        <v>Iaia angelo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12</v>
      </c>
      <c r="G95" s="12" t="str">
        <f>'CLASSIFICA ORDINATA'!E94</f>
        <v/>
      </c>
      <c r="H95" s="96">
        <f>'CLASSIFICA ORDINATA'!F94</f>
        <v>12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16</v>
      </c>
      <c r="S95" s="12" t="str">
        <f>'CLASSIFICA ORDINATA'!Q94</f>
        <v/>
      </c>
      <c r="T95" s="96">
        <f>'CLASSIFICA ORDINATA'!R94</f>
        <v>16</v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38</v>
      </c>
    </row>
    <row r="96" spans="1:29" ht="20" customHeight="1" x14ac:dyDescent="0.25">
      <c r="A96" s="92">
        <v>28</v>
      </c>
      <c r="B96" s="95" t="str">
        <f>'CLASSIFICA ORDINATA'!B95</f>
        <v>Dimaaa66</v>
      </c>
      <c r="C96" s="84" t="str">
        <f>VLOOKUP(B96,nomi!B:C,2,FALSE)</f>
        <v>Dimaaa66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6</v>
      </c>
      <c r="G96" s="12" t="str">
        <f>'CLASSIFICA ORDINATA'!E95</f>
        <v/>
      </c>
      <c r="H96" s="96">
        <f>'CLASSIFICA ORDINATA'!F95</f>
        <v>6</v>
      </c>
      <c r="I96" s="12" t="str">
        <f>'CLASSIFICA ORDINATA'!G95</f>
        <v/>
      </c>
      <c r="J96" s="12">
        <f>'CLASSIFICA ORDINATA'!H95</f>
        <v>4</v>
      </c>
      <c r="K96" s="12" t="str">
        <f>'CLASSIFICA ORDINATA'!I95</f>
        <v/>
      </c>
      <c r="L96" s="96">
        <f>'CLASSIFICA ORDINATA'!J95</f>
        <v>4</v>
      </c>
      <c r="M96" s="12" t="str">
        <f>'CLASSIFICA ORDINATA'!K95</f>
        <v/>
      </c>
      <c r="N96" s="12">
        <f>'CLASSIFICA ORDINATA'!L95</f>
        <v>10</v>
      </c>
      <c r="O96" s="12" t="str">
        <f>'CLASSIFICA ORDINATA'!M95</f>
        <v/>
      </c>
      <c r="P96" s="96">
        <f>'CLASSIFICA ORDINATA'!N95</f>
        <v>10</v>
      </c>
      <c r="Q96" s="12" t="str">
        <f>'CLASSIFICA ORDINATA'!O95</f>
        <v/>
      </c>
      <c r="R96" s="12">
        <f>'CLASSIFICA ORDINATA'!P95</f>
        <v>18</v>
      </c>
      <c r="S96" s="12" t="str">
        <f>'CLASSIFICA ORDINATA'!Q95</f>
        <v/>
      </c>
      <c r="T96" s="96">
        <f>'CLASSIFICA ORDINATA'!R95</f>
        <v>18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38</v>
      </c>
    </row>
    <row r="97" spans="1:29" ht="20" customHeight="1" x14ac:dyDescent="0.25">
      <c r="A97" s="92">
        <v>29</v>
      </c>
      <c r="B97" s="95" t="str">
        <f>'CLASSIFICA ORDINATA'!B96</f>
        <v>Bobgre93</v>
      </c>
      <c r="C97" s="84" t="str">
        <f>VLOOKUP(B97,nomi!B:C,2,FALSE)</f>
        <v>TLM_BobGre93</v>
      </c>
      <c r="D97" s="84" t="str">
        <f>VLOOKUP(B97,nomi!B:G,6,FALSE)</f>
        <v>TLM</v>
      </c>
      <c r="E97" s="12" t="str">
        <f>'CLASSIFICA ORDINATA'!C96</f>
        <v/>
      </c>
      <c r="F97" s="12">
        <f>'CLASSIFICA ORDINATA'!D96</f>
        <v>20</v>
      </c>
      <c r="G97" s="12" t="str">
        <f>'CLASSIFICA ORDINATA'!E96</f>
        <v/>
      </c>
      <c r="H97" s="96">
        <f>'CLASSIFICA ORDINATA'!F96</f>
        <v>20</v>
      </c>
      <c r="I97" s="12" t="str">
        <f>'CLASSIFICA ORDINATA'!G96</f>
        <v/>
      </c>
      <c r="J97" s="12">
        <f>'CLASSIFICA ORDINATA'!H96</f>
        <v>16</v>
      </c>
      <c r="K97" s="12" t="str">
        <f>'CLASSIFICA ORDINATA'!I96</f>
        <v/>
      </c>
      <c r="L97" s="96">
        <f>'CLASSIFICA ORDINATA'!J96</f>
        <v>16</v>
      </c>
      <c r="M97" s="12" t="str">
        <f>'CLASSIFICA ORDINATA'!K96</f>
        <v/>
      </c>
      <c r="N97" s="12" t="str">
        <f>'CLASSIFICA ORDINATA'!L96</f>
        <v/>
      </c>
      <c r="O97" s="12" t="str">
        <f>'CLASSIFICA ORDINATA'!M96</f>
        <v/>
      </c>
      <c r="P97" s="96" t="str">
        <f>'CLASSIFICA ORDINATA'!N96</f>
        <v/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36</v>
      </c>
    </row>
    <row r="98" spans="1:29" ht="20" customHeight="1" x14ac:dyDescent="0.25">
      <c r="A98" s="92">
        <v>30</v>
      </c>
      <c r="B98" s="95" t="str">
        <f>'CLASSIFICA ORDINATA'!B97</f>
        <v>Talsigiano</v>
      </c>
      <c r="C98" s="84" t="str">
        <f>VLOOKUP(B98,nomi!B:C,2,FALSE)</f>
        <v xml:space="preserve">Talsigiano </v>
      </c>
      <c r="D98" s="84" t="str">
        <f>VLOOKUP(B98,nomi!B:G,6,FALSE)</f>
        <v>TLMA</v>
      </c>
      <c r="E98" s="12" t="str">
        <f>'CLASSIFICA ORDINATA'!C97</f>
        <v/>
      </c>
      <c r="F98" s="12">
        <f>'CLASSIFICA ORDINATA'!D97</f>
        <v>5</v>
      </c>
      <c r="G98" s="12" t="str">
        <f>'CLASSIFICA ORDINATA'!E97</f>
        <v/>
      </c>
      <c r="H98" s="96">
        <f>'CLASSIFICA ORDINATA'!F97</f>
        <v>5</v>
      </c>
      <c r="I98" s="12" t="str">
        <f>'CLASSIFICA ORDINATA'!G97</f>
        <v/>
      </c>
      <c r="J98" s="12">
        <f>'CLASSIFICA ORDINATA'!H97</f>
        <v>8</v>
      </c>
      <c r="K98" s="12" t="str">
        <f>'CLASSIFICA ORDINATA'!I97</f>
        <v/>
      </c>
      <c r="L98" s="96">
        <f>'CLASSIFICA ORDINATA'!J97</f>
        <v>8</v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>
        <f>'CLASSIFICA ORDINATA'!P97</f>
        <v>10</v>
      </c>
      <c r="S98" s="12" t="str">
        <f>'CLASSIFICA ORDINATA'!Q97</f>
        <v/>
      </c>
      <c r="T98" s="96">
        <f>'CLASSIFICA ORDINATA'!R97</f>
        <v>10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31</v>
      </c>
    </row>
    <row r="99" spans="1:29" ht="20" customHeight="1" x14ac:dyDescent="0.25">
      <c r="A99" s="92">
        <v>31</v>
      </c>
      <c r="B99" s="95" t="str">
        <f>'CLASSIFICA ORDINATA'!B98</f>
        <v>Stefanostefanof</v>
      </c>
      <c r="C99" s="84" t="str">
        <f>VLOOKUP(B99,nomi!B:C,2,FALSE)</f>
        <v>CSC_stefano</v>
      </c>
      <c r="D99" s="84" t="str">
        <f>VLOOKUP(B99,nomi!B:G,6,FALSE)</f>
        <v>CSC</v>
      </c>
      <c r="E99" s="12" t="str">
        <f>'CLASSIFICA ORDINATA'!C98</f>
        <v/>
      </c>
      <c r="F99" s="12">
        <f>'CLASSIFICA ORDINATA'!D98</f>
        <v>10</v>
      </c>
      <c r="G99" s="12" t="str">
        <f>'CLASSIFICA ORDINATA'!E98</f>
        <v/>
      </c>
      <c r="H99" s="96">
        <f>'CLASSIFICA ORDINATA'!F98</f>
        <v>10</v>
      </c>
      <c r="I99" s="12" t="str">
        <f>'CLASSIFICA ORDINATA'!G98</f>
        <v/>
      </c>
      <c r="J99" s="12">
        <f>'CLASSIFICA ORDINATA'!H98</f>
        <v>5</v>
      </c>
      <c r="K99" s="12" t="str">
        <f>'CLASSIFICA ORDINATA'!I98</f>
        <v/>
      </c>
      <c r="L99" s="96">
        <f>'CLASSIFICA ORDINATA'!J98</f>
        <v>5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>
        <f>'CLASSIFICA ORDINATA'!P98</f>
        <v>14</v>
      </c>
      <c r="S99" s="12" t="str">
        <f>'CLASSIFICA ORDINATA'!Q98</f>
        <v/>
      </c>
      <c r="T99" s="96">
        <f>'CLASSIFICA ORDINATA'!R98</f>
        <v>14</v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29</v>
      </c>
    </row>
    <row r="100" spans="1:29" ht="20" customHeight="1" x14ac:dyDescent="0.25">
      <c r="A100" s="92">
        <v>32</v>
      </c>
      <c r="B100" s="95" t="str">
        <f>'CLASSIFICA ORDINATA'!B99</f>
        <v>madonte</v>
      </c>
      <c r="C100" s="84" t="str">
        <f>VLOOKUP(B100,nomi!B:C,2,FALSE)</f>
        <v>GTRC_madonte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10</v>
      </c>
      <c r="G100" s="12" t="str">
        <f>'CLASSIFICA ORDINATA'!E99</f>
        <v/>
      </c>
      <c r="H100" s="96">
        <f>'CLASSIFICA ORDINATA'!F99</f>
        <v>10</v>
      </c>
      <c r="I100" s="12" t="str">
        <f>'CLASSIFICA ORDINATA'!G99</f>
        <v/>
      </c>
      <c r="J100" s="12">
        <f>'CLASSIFICA ORDINATA'!H99</f>
        <v>6</v>
      </c>
      <c r="K100" s="12" t="str">
        <f>'CLASSIFICA ORDINATA'!I99</f>
        <v/>
      </c>
      <c r="L100" s="96">
        <f>'CLASSIFICA ORDINATA'!J99</f>
        <v>6</v>
      </c>
      <c r="M100" s="12" t="str">
        <f>'CLASSIFICA ORDINATA'!K99</f>
        <v/>
      </c>
      <c r="N100" s="12">
        <f>'CLASSIFICA ORDINATA'!L99</f>
        <v>12</v>
      </c>
      <c r="O100" s="12" t="str">
        <f>'CLASSIFICA ORDINATA'!M99</f>
        <v/>
      </c>
      <c r="P100" s="96">
        <f>'CLASSIFICA ORDINATA'!N99</f>
        <v>12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28</v>
      </c>
    </row>
    <row r="101" spans="1:29" ht="20" customHeight="1" x14ac:dyDescent="0.25">
      <c r="A101" s="92">
        <v>33</v>
      </c>
      <c r="B101" s="95" t="str">
        <f>'CLASSIFICA ORDINATA'!B100</f>
        <v>Cjcerbola</v>
      </c>
      <c r="C101" s="84" t="str">
        <f>VLOOKUP(B101,nomi!B:C,2,FALSE)</f>
        <v>Dct_Cjcerbola</v>
      </c>
      <c r="D101" s="84" t="str">
        <f>VLOOKUP(B101,nomi!B:G,6,FALSE)</f>
        <v>DCT</v>
      </c>
      <c r="E101" s="12" t="str">
        <f>'CLASSIFICA ORDINATA'!C100</f>
        <v/>
      </c>
      <c r="F101" s="12">
        <f>'CLASSIFICA ORDINATA'!D100</f>
        <v>6</v>
      </c>
      <c r="G101" s="12" t="str">
        <f>'CLASSIFICA ORDINATA'!E100</f>
        <v/>
      </c>
      <c r="H101" s="96">
        <f>'CLASSIFICA ORDINATA'!F100</f>
        <v>6</v>
      </c>
      <c r="I101" s="12" t="str">
        <f>'CLASSIFICA ORDINATA'!G100</f>
        <v/>
      </c>
      <c r="J101" s="12">
        <f>'CLASSIFICA ORDINATA'!H100</f>
        <v>5</v>
      </c>
      <c r="K101" s="12" t="str">
        <f>'CLASSIFICA ORDINATA'!I100</f>
        <v/>
      </c>
      <c r="L101" s="96">
        <f>'CLASSIFICA ORDINATA'!J100</f>
        <v>5</v>
      </c>
      <c r="M101" s="12" t="str">
        <f>'CLASSIFICA ORDINATA'!K100</f>
        <v/>
      </c>
      <c r="N101" s="12">
        <f>'CLASSIFICA ORDINATA'!L100</f>
        <v>5</v>
      </c>
      <c r="O101" s="12" t="str">
        <f>'CLASSIFICA ORDINATA'!M100</f>
        <v/>
      </c>
      <c r="P101" s="96">
        <f>'CLASSIFICA ORDINATA'!N100</f>
        <v>5</v>
      </c>
      <c r="Q101" s="12" t="str">
        <f>'CLASSIFICA ORDINATA'!O100</f>
        <v/>
      </c>
      <c r="R101" s="12">
        <f>'CLASSIFICA ORDINATA'!P100</f>
        <v>12</v>
      </c>
      <c r="S101" s="12" t="str">
        <f>'CLASSIFICA ORDINATA'!Q100</f>
        <v/>
      </c>
      <c r="T101" s="96">
        <f>'CLASSIFICA ORDINATA'!R100</f>
        <v>12</v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28</v>
      </c>
    </row>
    <row r="102" spans="1:29" ht="20" customHeight="1" x14ac:dyDescent="0.25">
      <c r="A102" s="92">
        <v>34</v>
      </c>
      <c r="B102" s="95" t="str">
        <f>'CLASSIFICA ORDINATA'!B101</f>
        <v>Dani_CT1946</v>
      </c>
      <c r="C102" s="84" t="str">
        <f>VLOOKUP(B102,nomi!B:C,2,FALSE)</f>
        <v>Danict1946</v>
      </c>
      <c r="D102" s="84" t="str">
        <f>VLOOKUP(B102,nomi!B:G,6,FALSE)</f>
        <v>CSC</v>
      </c>
      <c r="E102" s="12" t="str">
        <f>'CLASSIFICA ORDINATA'!C101</f>
        <v/>
      </c>
      <c r="F102" s="12">
        <f>'CLASSIFICA ORDINATA'!D101</f>
        <v>8</v>
      </c>
      <c r="G102" s="12" t="str">
        <f>'CLASSIFICA ORDINATA'!E101</f>
        <v/>
      </c>
      <c r="H102" s="96">
        <f>'CLASSIFICA ORDINATA'!F101</f>
        <v>8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96">
        <f>'CLASSIFICA ORDINATA'!J101</f>
        <v>8</v>
      </c>
      <c r="M102" s="12" t="str">
        <f>'CLASSIFICA ORDINATA'!K101</f>
        <v/>
      </c>
      <c r="N102" s="12" t="str">
        <f>'CLASSIFICA ORDINATA'!L101</f>
        <v/>
      </c>
      <c r="O102" s="12" t="str">
        <f>'CLASSIFICA ORDINATA'!M101</f>
        <v/>
      </c>
      <c r="P102" s="96" t="str">
        <f>'CLASSIFICA ORDINATA'!N101</f>
        <v/>
      </c>
      <c r="Q102" s="12" t="str">
        <f>'CLASSIFICA ORDINATA'!O101</f>
        <v/>
      </c>
      <c r="R102" s="12">
        <f>'CLASSIFICA ORDINATA'!P101</f>
        <v>10</v>
      </c>
      <c r="S102" s="12" t="str">
        <f>'CLASSIFICA ORDINATA'!Q101</f>
        <v/>
      </c>
      <c r="T102" s="96">
        <f>'CLASSIFICA ORDINATA'!R101</f>
        <v>10</v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26</v>
      </c>
    </row>
    <row r="103" spans="1:29" ht="20" customHeight="1" x14ac:dyDescent="0.25">
      <c r="A103" s="92">
        <v>35</v>
      </c>
      <c r="B103" s="95" t="str">
        <f>'CLASSIFICA ORDINATA'!B102</f>
        <v>Assemazz</v>
      </c>
      <c r="C103" s="84" t="str">
        <f>VLOOKUP(B103,nomi!B:C,2,FALSE)</f>
        <v>TLM_GAMMA</v>
      </c>
      <c r="D103" s="84" t="str">
        <f>VLOOKUP(B103,nomi!B:G,6,FALSE)</f>
        <v>TLM</v>
      </c>
      <c r="E103" s="12" t="str">
        <f>'CLASSIFICA ORDINATA'!C102</f>
        <v/>
      </c>
      <c r="F103" s="12">
        <f>'CLASSIFICA ORDINATA'!D102</f>
        <v>5</v>
      </c>
      <c r="G103" s="12" t="str">
        <f>'CLASSIFICA ORDINATA'!E102</f>
        <v/>
      </c>
      <c r="H103" s="96">
        <f>'CLASSIFICA ORDINATA'!F102</f>
        <v>5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6</v>
      </c>
      <c r="O103" s="12" t="str">
        <f>'CLASSIFICA ORDINATA'!M102</f>
        <v/>
      </c>
      <c r="P103" s="96">
        <f>'CLASSIFICA ORDINATA'!N102</f>
        <v>6</v>
      </c>
      <c r="Q103" s="12" t="str">
        <f>'CLASSIFICA ORDINATA'!O102</f>
        <v/>
      </c>
      <c r="R103" s="12">
        <f>'CLASSIFICA ORDINATA'!P102</f>
        <v>10</v>
      </c>
      <c r="S103" s="12" t="str">
        <f>'CLASSIFICA ORDINATA'!Q102</f>
        <v/>
      </c>
      <c r="T103" s="96">
        <f>'CLASSIFICA ORDINATA'!R102</f>
        <v>10</v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25</v>
      </c>
    </row>
    <row r="104" spans="1:29" ht="20" customHeight="1" x14ac:dyDescent="0.25">
      <c r="A104" s="92">
        <v>36</v>
      </c>
      <c r="B104" s="95" t="str">
        <f>'CLASSIFICA ORDINATA'!B103</f>
        <v>Liotru1979</v>
      </c>
      <c r="C104" s="84" t="str">
        <f>VLOOKUP(B104,nomi!B:C,2,FALSE)</f>
        <v xml:space="preserve">TLM Max </v>
      </c>
      <c r="D104" s="84" t="str">
        <f>VLOOKUP(B104,nomi!B:G,6,FALSE)</f>
        <v>TLM</v>
      </c>
      <c r="E104" s="12" t="str">
        <f>'CLASSIFICA ORDINATA'!C103</f>
        <v/>
      </c>
      <c r="F104" s="12">
        <f>'CLASSIFICA ORDINATA'!D103</f>
        <v>8</v>
      </c>
      <c r="G104" s="12" t="str">
        <f>'CLASSIFICA ORDINATA'!E103</f>
        <v/>
      </c>
      <c r="H104" s="96">
        <f>'CLASSIFICA ORDINATA'!F103</f>
        <v>8</v>
      </c>
      <c r="I104" s="12" t="str">
        <f>'CLASSIFICA ORDINATA'!G103</f>
        <v/>
      </c>
      <c r="J104" s="12">
        <f>'CLASSIFICA ORDINATA'!H103</f>
        <v>8</v>
      </c>
      <c r="K104" s="12" t="str">
        <f>'CLASSIFICA ORDINATA'!I103</f>
        <v/>
      </c>
      <c r="L104" s="96">
        <f>'CLASSIFICA ORDINATA'!J103</f>
        <v>8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8</v>
      </c>
      <c r="S104" s="12" t="str">
        <f>'CLASSIFICA ORDINATA'!Q103</f>
        <v/>
      </c>
      <c r="T104" s="96">
        <f>'CLASSIFICA ORDINATA'!R103</f>
        <v>8</v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24</v>
      </c>
    </row>
    <row r="105" spans="1:29" ht="20" customHeight="1" x14ac:dyDescent="0.25">
      <c r="A105" s="92">
        <v>37</v>
      </c>
      <c r="B105" s="95" t="str">
        <f>'CLASSIFICA ORDINATA'!B104</f>
        <v>GTRC-ALERASATO74</v>
      </c>
      <c r="C105" s="84" t="str">
        <f>VLOOKUP(B105,nomi!B:C,2,FALSE)</f>
        <v xml:space="preserve">Gtrc_AleRasato </v>
      </c>
      <c r="D105" s="84" t="str">
        <f>VLOOKUP(B105,nomi!B:G,6,FALSE)</f>
        <v>GTRC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>
        <f>'CLASSIFICA ORDINATA'!L104</f>
        <v>5</v>
      </c>
      <c r="O105" s="12" t="str">
        <f>'CLASSIFICA ORDINATA'!M104</f>
        <v/>
      </c>
      <c r="P105" s="96">
        <f>'CLASSIFICA ORDINATA'!N104</f>
        <v>5</v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21</v>
      </c>
    </row>
    <row r="106" spans="1:29" ht="20" customHeight="1" x14ac:dyDescent="0.25">
      <c r="A106" s="92">
        <v>38</v>
      </c>
      <c r="B106" s="95" t="str">
        <f>'CLASSIFICA ORDINATA'!B105</f>
        <v>jack-187-jack</v>
      </c>
      <c r="C106" s="84" t="str">
        <f>VLOOKUP(B106,nomi!B:C,2,FALSE)</f>
        <v>Jack187</v>
      </c>
      <c r="D106" s="84" t="str">
        <f>VLOOKUP(B106,nomi!B:G,6,FALSE)</f>
        <v>TLMA</v>
      </c>
      <c r="E106" s="12" t="str">
        <f>'CLASSIFICA ORDINATA'!C105</f>
        <v/>
      </c>
      <c r="F106" s="12">
        <f>'CLASSIFICA ORDINATA'!D105</f>
        <v>4</v>
      </c>
      <c r="G106" s="12" t="str">
        <f>'CLASSIFICA ORDINATA'!E105</f>
        <v/>
      </c>
      <c r="H106" s="96">
        <f>'CLASSIFICA ORDINATA'!F105</f>
        <v>4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10</v>
      </c>
      <c r="O106" s="12" t="str">
        <f>'CLASSIFICA ORDINATA'!M105</f>
        <v/>
      </c>
      <c r="P106" s="96">
        <f>'CLASSIFICA ORDINATA'!N105</f>
        <v>10</v>
      </c>
      <c r="Q106" s="12" t="str">
        <f>'CLASSIFICA ORDINATA'!O105</f>
        <v/>
      </c>
      <c r="R106" s="12">
        <f>'CLASSIFICA ORDINATA'!P105</f>
        <v>3</v>
      </c>
      <c r="S106" s="12" t="str">
        <f>'CLASSIFICA ORDINATA'!Q105</f>
        <v/>
      </c>
      <c r="T106" s="96">
        <f>'CLASSIFICA ORDINATA'!R105</f>
        <v>3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21</v>
      </c>
    </row>
    <row r="107" spans="1:29" ht="20" customHeight="1" x14ac:dyDescent="0.25">
      <c r="A107" s="92">
        <v>39</v>
      </c>
      <c r="B107" s="95" t="str">
        <f>'CLASSIFICA ORDINATA'!B106</f>
        <v>Isnotacrime</v>
      </c>
      <c r="C107" s="84" t="str">
        <f>VLOOKUP(B107,nomi!B:C,2,FALSE)</f>
        <v xml:space="preserve">TLM isnotacrime 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3</v>
      </c>
      <c r="G107" s="12" t="str">
        <f>'CLASSIFICA ORDINATA'!E106</f>
        <v/>
      </c>
      <c r="H107" s="96">
        <f>'CLASSIFICA ORDINATA'!F106</f>
        <v>3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6</v>
      </c>
      <c r="O107" s="12" t="str">
        <f>'CLASSIFICA ORDINATA'!M106</f>
        <v/>
      </c>
      <c r="P107" s="96">
        <f>'CLASSIFICA ORDINATA'!N106</f>
        <v>6</v>
      </c>
      <c r="Q107" s="12" t="str">
        <f>'CLASSIFICA ORDINATA'!O106</f>
        <v/>
      </c>
      <c r="R107" s="12">
        <f>'CLASSIFICA ORDINATA'!P106</f>
        <v>10</v>
      </c>
      <c r="S107" s="12" t="str">
        <f>'CLASSIFICA ORDINATA'!Q106</f>
        <v/>
      </c>
      <c r="T107" s="96">
        <f>'CLASSIFICA ORDINATA'!R106</f>
        <v>10</v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19</v>
      </c>
    </row>
    <row r="108" spans="1:29" ht="20" customHeight="1" x14ac:dyDescent="0.25">
      <c r="A108" s="92">
        <v>40</v>
      </c>
      <c r="B108" s="95" t="str">
        <f>'CLASSIFICA ORDINATA'!B107</f>
        <v>TLM_CaLiGoLa</v>
      </c>
      <c r="C108" s="84" t="str">
        <f>VLOOKUP(B108,nomi!B:C,2,FALSE)</f>
        <v>TLM_CaLiGoLa</v>
      </c>
      <c r="D108" s="84" t="str">
        <f>VLOOKUP(B108,nomi!B:G,6,FALSE)</f>
        <v>TLM</v>
      </c>
      <c r="E108" s="12" t="str">
        <f>'CLASSIFICA ORDINATA'!C107</f>
        <v/>
      </c>
      <c r="F108" s="12">
        <f>'CLASSIFICA ORDINATA'!D107</f>
        <v>5</v>
      </c>
      <c r="G108" s="12" t="str">
        <f>'CLASSIFICA ORDINATA'!E107</f>
        <v/>
      </c>
      <c r="H108" s="96">
        <f>'CLASSIFICA ORDINATA'!F107</f>
        <v>5</v>
      </c>
      <c r="I108" s="12" t="str">
        <f>'CLASSIFICA ORDINATA'!G107</f>
        <v/>
      </c>
      <c r="J108" s="12" t="str">
        <f>'CLASSIFICA ORDINATA'!H107</f>
        <v/>
      </c>
      <c r="K108" s="12" t="str">
        <f>'CLASSIFICA ORDINATA'!I107</f>
        <v/>
      </c>
      <c r="L108" s="96" t="str">
        <f>'CLASSIFICA ORDINATA'!J107</f>
        <v/>
      </c>
      <c r="M108" s="12" t="str">
        <f>'CLASSIFICA ORDINATA'!K107</f>
        <v/>
      </c>
      <c r="N108" s="12">
        <f>'CLASSIFICA ORDINATA'!L107</f>
        <v>8</v>
      </c>
      <c r="O108" s="12" t="str">
        <f>'CLASSIFICA ORDINATA'!M107</f>
        <v/>
      </c>
      <c r="P108" s="96">
        <f>'CLASSIFICA ORDINATA'!N107</f>
        <v>8</v>
      </c>
      <c r="Q108" s="12" t="str">
        <f>'CLASSIFICA ORDINATA'!O107</f>
        <v/>
      </c>
      <c r="R108" s="12">
        <f>'CLASSIFICA ORDINATA'!P107</f>
        <v>6</v>
      </c>
      <c r="S108" s="12" t="str">
        <f>'CLASSIFICA ORDINATA'!Q107</f>
        <v/>
      </c>
      <c r="T108" s="96">
        <f>'CLASSIFICA ORDINATA'!R107</f>
        <v>6</v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19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17</v>
      </c>
    </row>
    <row r="110" spans="1:29" ht="20" customHeight="1" x14ac:dyDescent="0.25">
      <c r="A110" s="92">
        <v>42</v>
      </c>
      <c r="B110" s="95" t="str">
        <f>'CLASSIFICA ORDINATA'!B109</f>
        <v>Rikas78</v>
      </c>
      <c r="C110" s="84" t="str">
        <f>VLOOKUP(B110,nomi!B:C,2,FALSE)</f>
        <v>Rikas78</v>
      </c>
      <c r="D110" s="84" t="str">
        <f>VLOOKUP(B110,nomi!B:G,6,FALSE)</f>
        <v>TLMA</v>
      </c>
      <c r="E110" s="12" t="str">
        <f>'CLASSIFICA ORDINATA'!C109</f>
        <v/>
      </c>
      <c r="F110" s="12">
        <f>'CLASSIFICA ORDINATA'!D109</f>
        <v>2</v>
      </c>
      <c r="G110" s="12" t="str">
        <f>'CLASSIFICA ORDINATA'!E109</f>
        <v/>
      </c>
      <c r="H110" s="96">
        <f>'CLASSIFICA ORDINATA'!F109</f>
        <v>2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4</v>
      </c>
      <c r="S110" s="12" t="str">
        <f>'CLASSIFICA ORDINATA'!Q109</f>
        <v/>
      </c>
      <c r="T110" s="96">
        <f>'CLASSIFICA ORDINATA'!R109</f>
        <v>4</v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17</v>
      </c>
    </row>
    <row r="111" spans="1:29" ht="20" customHeight="1" x14ac:dyDescent="0.25">
      <c r="A111" s="92">
        <v>43</v>
      </c>
      <c r="B111" s="95" t="str">
        <f>'CLASSIFICA ORDINATA'!B110</f>
        <v>Selpa974</v>
      </c>
      <c r="C111" s="84" t="str">
        <f>VLOOKUP(B111,nomi!B:C,2,FALSE)</f>
        <v>TLM_Selpa974_#88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16</v>
      </c>
      <c r="G111" s="12" t="str">
        <f>'CLASSIFICA ORDINATA'!E110</f>
        <v/>
      </c>
      <c r="H111" s="96">
        <f>'CLASSIFICA ORDINATA'!F110</f>
        <v>16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96" t="str">
        <f>'CLASSIFICA ORDINATA'!N110</f>
        <v/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16</v>
      </c>
    </row>
    <row r="112" spans="1:29" ht="20" customHeight="1" x14ac:dyDescent="0.25">
      <c r="A112" s="92">
        <v>44</v>
      </c>
      <c r="B112" s="95" t="str">
        <f>'CLASSIFICA ORDINATA'!B111</f>
        <v>Costanzo-Mirko90</v>
      </c>
      <c r="C112" s="84" t="str">
        <f>VLOOKUP(B112,nomi!B:C,2,FALSE)</f>
        <v>GTRC M. Costanzo</v>
      </c>
      <c r="D112" s="84" t="str">
        <f>VLOOKUP(B112,nomi!B:G,6,FALSE)</f>
        <v>GTRC</v>
      </c>
      <c r="E112" s="12" t="str">
        <f>'CLASSIFICA ORDINATA'!C111</f>
        <v/>
      </c>
      <c r="F112" s="12">
        <f>'CLASSIFICA ORDINATA'!D111</f>
        <v>4</v>
      </c>
      <c r="G112" s="12" t="str">
        <f>'CLASSIFICA ORDINATA'!E111</f>
        <v/>
      </c>
      <c r="H112" s="96">
        <f>'CLASSIFICA ORDINATA'!F111</f>
        <v>4</v>
      </c>
      <c r="I112" s="12" t="str">
        <f>'CLASSIFICA ORDINATA'!G111</f>
        <v/>
      </c>
      <c r="J112" s="12">
        <f>'CLASSIFICA ORDINATA'!H111</f>
        <v>2</v>
      </c>
      <c r="K112" s="12" t="str">
        <f>'CLASSIFICA ORDINATA'!I111</f>
        <v/>
      </c>
      <c r="L112" s="96">
        <f>'CLASSIFICA ORDINATA'!J111</f>
        <v>2</v>
      </c>
      <c r="M112" s="12" t="str">
        <f>'CLASSIFICA ORDINATA'!K111</f>
        <v/>
      </c>
      <c r="N112" s="12">
        <f>'CLASSIFICA ORDINATA'!L111</f>
        <v>5</v>
      </c>
      <c r="O112" s="12" t="str">
        <f>'CLASSIFICA ORDINATA'!M111</f>
        <v/>
      </c>
      <c r="P112" s="96">
        <f>'CLASSIFICA ORDINATA'!N111</f>
        <v>5</v>
      </c>
      <c r="Q112" s="12" t="str">
        <f>'CLASSIFICA ORDINATA'!O111</f>
        <v/>
      </c>
      <c r="R112" s="12">
        <f>'CLASSIFICA ORDINATA'!P111</f>
        <v>5</v>
      </c>
      <c r="S112" s="12" t="str">
        <f>'CLASSIFICA ORDINATA'!Q111</f>
        <v/>
      </c>
      <c r="T112" s="96">
        <f>'CLASSIFICA ORDINATA'!R111</f>
        <v>5</v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16</v>
      </c>
    </row>
    <row r="113" spans="1:29" ht="20" customHeight="1" x14ac:dyDescent="0.25">
      <c r="A113" s="92">
        <v>45</v>
      </c>
      <c r="B113" s="95" t="str">
        <f>'CLASSIFICA ORDINATA'!B112</f>
        <v>Mancinelli2002</v>
      </c>
      <c r="C113" s="84" t="str">
        <f>VLOOKUP(B113,nomi!B:C,2,FALSE)</f>
        <v>Gian</v>
      </c>
      <c r="D113" s="84" t="str">
        <f>VLOOKUP(B113,nomi!B:G,6,FALSE)</f>
        <v>TLMA</v>
      </c>
      <c r="E113" s="12" t="str">
        <f>'CLASSIFICA ORDINATA'!C112</f>
        <v/>
      </c>
      <c r="F113" s="12">
        <f>'CLASSIFICA ORDINATA'!D112</f>
        <v>2</v>
      </c>
      <c r="G113" s="12" t="str">
        <f>'CLASSIFICA ORDINATA'!E112</f>
        <v/>
      </c>
      <c r="H113" s="96">
        <f>'CLASSIFICA ORDINATA'!F112</f>
        <v>2</v>
      </c>
      <c r="I113" s="12" t="str">
        <f>'CLASSIFICA ORDINATA'!G112</f>
        <v/>
      </c>
      <c r="J113" s="12">
        <f>'CLASSIFICA ORDINATA'!H112</f>
        <v>3</v>
      </c>
      <c r="K113" s="12" t="str">
        <f>'CLASSIFICA ORDINATA'!I112</f>
        <v/>
      </c>
      <c r="L113" s="96">
        <f>'CLASSIFICA ORDINATA'!J112</f>
        <v>3</v>
      </c>
      <c r="M113" s="12" t="str">
        <f>'CLASSIFICA ORDINATA'!K112</f>
        <v/>
      </c>
      <c r="N113" s="12">
        <f>'CLASSIFICA ORDINATA'!L112</f>
        <v>6</v>
      </c>
      <c r="O113" s="12" t="str">
        <f>'CLASSIFICA ORDINATA'!M112</f>
        <v/>
      </c>
      <c r="P113" s="96">
        <f>'CLASSIFICA ORDINATA'!N112</f>
        <v>6</v>
      </c>
      <c r="Q113" s="12" t="str">
        <f>'CLASSIFICA ORDINATA'!O112</f>
        <v/>
      </c>
      <c r="R113" s="12">
        <f>'CLASSIFICA ORDINATA'!P112</f>
        <v>4</v>
      </c>
      <c r="S113" s="12" t="str">
        <f>'CLASSIFICA ORDINATA'!Q112</f>
        <v/>
      </c>
      <c r="T113" s="96">
        <f>'CLASSIFICA ORDINATA'!R112</f>
        <v>4</v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15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15</v>
      </c>
    </row>
    <row r="115" spans="1:29" ht="20" customHeight="1" x14ac:dyDescent="0.25">
      <c r="A115" s="92">
        <v>47</v>
      </c>
      <c r="B115" s="95" t="str">
        <f>'CLASSIFICA ORDINATA'!B114</f>
        <v>TeoDaniricky2000</v>
      </c>
      <c r="C115" s="84" t="str">
        <f>VLOOKUP(B115,nomi!B:C,2,FALSE)</f>
        <v>TeoDaniricky2000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4</v>
      </c>
      <c r="G115" s="12" t="str">
        <f>'CLASSIFICA ORDINATA'!E114</f>
        <v/>
      </c>
      <c r="H115" s="96">
        <f>'CLASSIFICA ORDINATA'!F114</f>
        <v>4</v>
      </c>
      <c r="I115" s="12" t="str">
        <f>'CLASSIFICA ORDINATA'!G114</f>
        <v/>
      </c>
      <c r="J115" s="12">
        <f>'CLASSIFICA ORDINATA'!H114</f>
        <v>6</v>
      </c>
      <c r="K115" s="12" t="str">
        <f>'CLASSIFICA ORDINATA'!I114</f>
        <v/>
      </c>
      <c r="L115" s="96">
        <f>'CLASSIFICA ORDINATA'!J114</f>
        <v>6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4</v>
      </c>
      <c r="S115" s="12" t="str">
        <f>'CLASSIFICA ORDINATA'!Q114</f>
        <v/>
      </c>
      <c r="T115" s="96">
        <f>'CLASSIFICA ORDINATA'!R114</f>
        <v>4</v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14</v>
      </c>
    </row>
    <row r="116" spans="1:29" ht="20" customHeight="1" x14ac:dyDescent="0.25">
      <c r="A116" s="92">
        <v>48</v>
      </c>
      <c r="B116" s="95" t="str">
        <f>'CLASSIFICA ORDINATA'!B115</f>
        <v>mettiukc</v>
      </c>
      <c r="C116" s="84" t="str">
        <f>VLOOKUP(B116,nomi!B:C,2,FALSE)</f>
        <v>mettiukc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5</v>
      </c>
      <c r="G116" s="12" t="str">
        <f>'CLASSIFICA ORDINATA'!E115</f>
        <v/>
      </c>
      <c r="H116" s="96">
        <f>'CLASSIFICA ORDINATA'!F115</f>
        <v>5</v>
      </c>
      <c r="I116" s="12" t="str">
        <f>'CLASSIFICA ORDINATA'!G115</f>
        <v/>
      </c>
      <c r="J116" s="12">
        <f>'CLASSIFICA ORDINATA'!H115</f>
        <v>3</v>
      </c>
      <c r="K116" s="12" t="str">
        <f>'CLASSIFICA ORDINATA'!I115</f>
        <v/>
      </c>
      <c r="L116" s="96">
        <f>'CLASSIFICA ORDINATA'!J115</f>
        <v>3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>
        <f>'CLASSIFICA ORDINATA'!P115</f>
        <v>6</v>
      </c>
      <c r="S116" s="12" t="str">
        <f>'CLASSIFICA ORDINATA'!Q115</f>
        <v/>
      </c>
      <c r="T116" s="96">
        <f>'CLASSIFICA ORDINATA'!R115</f>
        <v>6</v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14</v>
      </c>
    </row>
    <row r="117" spans="1:29" ht="20" customHeight="1" x14ac:dyDescent="0.25">
      <c r="A117" s="92">
        <v>49</v>
      </c>
      <c r="B117" s="95" t="str">
        <f>'CLASSIFICA ORDINATA'!B116</f>
        <v>Blokkobubbles</v>
      </c>
      <c r="C117" s="84" t="str">
        <f>VLOOKUP(B117,nomi!B:C,2,FALSE)</f>
        <v>Blokko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6</v>
      </c>
      <c r="G117" s="12" t="str">
        <f>'CLASSIFICA ORDINATA'!E116</f>
        <v/>
      </c>
      <c r="H117" s="96">
        <f>'CLASSIFICA ORDINATA'!F116</f>
        <v>6</v>
      </c>
      <c r="I117" s="12" t="str">
        <f>'CLASSIFICA ORDINATA'!G116</f>
        <v/>
      </c>
      <c r="J117" s="12">
        <f>'CLASSIFICA ORDINATA'!H116</f>
        <v>5</v>
      </c>
      <c r="K117" s="12" t="str">
        <f>'CLASSIFICA ORDINATA'!I116</f>
        <v/>
      </c>
      <c r="L117" s="96">
        <f>'CLASSIFICA ORDINATA'!J116</f>
        <v>5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11</v>
      </c>
    </row>
    <row r="118" spans="1:29" ht="20" customHeight="1" x14ac:dyDescent="0.25">
      <c r="A118" s="92">
        <v>50</v>
      </c>
      <c r="B118" s="95" t="str">
        <f>'CLASSIFICA ORDINATA'!B117</f>
        <v>recidivo92</v>
      </c>
      <c r="C118" s="84" t="str">
        <f>VLOOKUP(B118,nomi!B:C,2,FALSE)</f>
        <v>ReciDivo92</v>
      </c>
      <c r="D118" s="84" t="str">
        <f>VLOOKUP(B118,nomi!B:G,6,FALSE)</f>
        <v>TLMA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6</v>
      </c>
      <c r="K118" s="12" t="str">
        <f>'CLASSIFICA ORDINATA'!I117</f>
        <v/>
      </c>
      <c r="L118" s="96">
        <f>'CLASSIFICA ORDINATA'!J117</f>
        <v>6</v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9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>Patanel86</v>
      </c>
      <c r="C122" s="84" t="str">
        <f>IFERROR(VLOOKUP(B122,nomi!B:C,2,FALSE),"")</f>
        <v>TLM_PataneL86</v>
      </c>
      <c r="D122" s="84" t="str">
        <f>IFERROR(VLOOKUP(B122,nomi!B:G,6,FALSE),"")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C19" sqref="B19:C19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412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394</v>
      </c>
      <c r="B3" s="132"/>
      <c r="C3" s="133"/>
      <c r="D3" s="82"/>
      <c r="E3" s="131" t="s">
        <v>394</v>
      </c>
      <c r="F3" s="132"/>
      <c r="G3" s="133"/>
    </row>
    <row r="4" spans="1:7" ht="20" customHeight="1" x14ac:dyDescent="0.2">
      <c r="A4" s="83" t="s">
        <v>392</v>
      </c>
      <c r="B4" s="130" t="s">
        <v>57</v>
      </c>
      <c r="C4" s="130"/>
      <c r="D4" s="82"/>
      <c r="E4" s="83" t="s">
        <v>392</v>
      </c>
      <c r="F4" s="130" t="s">
        <v>71</v>
      </c>
      <c r="G4" s="130"/>
    </row>
    <row r="5" spans="1:7" ht="20" customHeight="1" x14ac:dyDescent="0.2">
      <c r="A5" s="129" t="s">
        <v>391</v>
      </c>
      <c r="B5" s="129"/>
      <c r="C5" s="129"/>
      <c r="D5" s="82"/>
      <c r="E5" s="127" t="s">
        <v>401</v>
      </c>
      <c r="F5" s="128"/>
      <c r="G5" s="128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31</v>
      </c>
      <c r="C7" s="79" t="s">
        <v>31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53</v>
      </c>
      <c r="C8" s="79" t="s">
        <v>360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59</v>
      </c>
      <c r="C9" s="79" t="s">
        <v>112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79" t="s">
        <v>55</v>
      </c>
      <c r="C10" s="79" t="s">
        <v>106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56</v>
      </c>
      <c r="C11" s="79" t="s">
        <v>296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80" t="s">
        <v>62</v>
      </c>
      <c r="C12" s="79" t="s">
        <v>152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61</v>
      </c>
      <c r="C13" s="79" t="s">
        <v>61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50</v>
      </c>
      <c r="C14" s="79" t="s">
        <v>196</v>
      </c>
      <c r="D14" s="82"/>
      <c r="E14" s="81">
        <v>9</v>
      </c>
      <c r="F14" s="79" t="s">
        <v>85</v>
      </c>
      <c r="G14" s="79" t="s">
        <v>385</v>
      </c>
    </row>
    <row r="15" spans="1:7" ht="20" customHeight="1" x14ac:dyDescent="0.2">
      <c r="A15" s="81">
        <v>10</v>
      </c>
      <c r="B15" s="79" t="s">
        <v>58</v>
      </c>
      <c r="C15" s="79" t="s">
        <v>58</v>
      </c>
      <c r="D15" s="82"/>
      <c r="E15" s="81">
        <v>10</v>
      </c>
      <c r="F15" s="79" t="s">
        <v>37</v>
      </c>
      <c r="G15" s="79" t="s">
        <v>269</v>
      </c>
    </row>
    <row r="16" spans="1:7" ht="20" customHeight="1" x14ac:dyDescent="0.2">
      <c r="A16" s="81">
        <v>11</v>
      </c>
      <c r="B16" s="79" t="s">
        <v>57</v>
      </c>
      <c r="C16" s="79" t="s">
        <v>183</v>
      </c>
      <c r="D16" s="82"/>
      <c r="E16" s="81">
        <v>11</v>
      </c>
      <c r="F16" s="79" t="s">
        <v>72</v>
      </c>
      <c r="G16" s="79" t="s">
        <v>310</v>
      </c>
    </row>
    <row r="17" spans="1:7" ht="20" customHeight="1" x14ac:dyDescent="0.2">
      <c r="A17" s="81">
        <v>12</v>
      </c>
      <c r="B17" s="79" t="s">
        <v>52</v>
      </c>
      <c r="C17" s="79" t="s">
        <v>158</v>
      </c>
      <c r="D17" s="82"/>
      <c r="E17" s="81">
        <v>12</v>
      </c>
      <c r="F17" s="79" t="s">
        <v>65</v>
      </c>
      <c r="G17" s="79" t="s">
        <v>381</v>
      </c>
    </row>
    <row r="18" spans="1:7" ht="20" customHeight="1" x14ac:dyDescent="0.2">
      <c r="A18" s="81">
        <v>13</v>
      </c>
      <c r="B18" s="79" t="s">
        <v>77</v>
      </c>
      <c r="C18" s="79" t="s">
        <v>413</v>
      </c>
      <c r="D18" s="82"/>
      <c r="E18" s="81">
        <v>13</v>
      </c>
      <c r="F18" s="79" t="s">
        <v>64</v>
      </c>
      <c r="G18" s="79" t="s">
        <v>282</v>
      </c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395</v>
      </c>
      <c r="B21" s="130"/>
      <c r="C21" s="130" t="s">
        <v>396</v>
      </c>
      <c r="D21" s="130"/>
      <c r="E21" s="130"/>
      <c r="F21" s="130"/>
      <c r="G21" s="130"/>
    </row>
    <row r="22" spans="1:7" ht="20" customHeight="1" x14ac:dyDescent="0.2">
      <c r="A22" s="130" t="s">
        <v>398</v>
      </c>
      <c r="B22" s="130"/>
      <c r="C22" s="130" t="s">
        <v>397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393</v>
      </c>
      <c r="B24" s="132"/>
      <c r="C24" s="133"/>
      <c r="D24" s="82"/>
      <c r="E24" s="131" t="s">
        <v>394</v>
      </c>
      <c r="F24" s="132"/>
      <c r="G24" s="133"/>
    </row>
    <row r="25" spans="1:7" ht="20" customHeight="1" x14ac:dyDescent="0.2">
      <c r="A25" s="83" t="s">
        <v>392</v>
      </c>
      <c r="B25" s="130" t="s">
        <v>80</v>
      </c>
      <c r="C25" s="130"/>
      <c r="D25" s="82"/>
      <c r="E25" s="83" t="s">
        <v>392</v>
      </c>
      <c r="F25" s="130" t="s">
        <v>83</v>
      </c>
      <c r="G25" s="130"/>
    </row>
    <row r="26" spans="1:7" ht="20" customHeight="1" x14ac:dyDescent="0.2">
      <c r="A26" s="125" t="s">
        <v>390</v>
      </c>
      <c r="B26" s="126"/>
      <c r="C26" s="126"/>
      <c r="D26" s="82"/>
      <c r="E26" s="125" t="s">
        <v>400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89</v>
      </c>
      <c r="G27" s="79" t="s">
        <v>306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386</v>
      </c>
      <c r="G37" s="79" t="s">
        <v>386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32</v>
      </c>
      <c r="G38" s="79" t="s">
        <v>32</v>
      </c>
    </row>
    <row r="39" spans="1:7" ht="20" customHeight="1" x14ac:dyDescent="0.2">
      <c r="A39" s="81">
        <v>13</v>
      </c>
      <c r="B39" s="79"/>
      <c r="C39" s="79"/>
      <c r="D39" s="82"/>
      <c r="E39" s="81">
        <v>13</v>
      </c>
      <c r="F39" s="79" t="s">
        <v>84</v>
      </c>
      <c r="G39" s="79" t="s">
        <v>287</v>
      </c>
    </row>
    <row r="40" spans="1:7" ht="20" customHeight="1" x14ac:dyDescent="0.2">
      <c r="A40" s="81">
        <v>14</v>
      </c>
      <c r="B40" s="79"/>
      <c r="C40" s="79"/>
      <c r="D40" s="82"/>
      <c r="E40" s="81">
        <v>14</v>
      </c>
      <c r="F40" s="79"/>
      <c r="G40" s="79"/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G6" sqref="G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417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416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4</v>
      </c>
      <c r="C5" s="68" t="s">
        <v>84</v>
      </c>
      <c r="D5" s="68" t="str">
        <f>VLOOKUP(C5,nomi!B:C,2,FALSE)</f>
        <v>D.Apicella</v>
      </c>
      <c r="E5" s="66" t="s">
        <v>415</v>
      </c>
      <c r="F5" s="66">
        <v>3</v>
      </c>
      <c r="G5" s="69" t="s">
        <v>419</v>
      </c>
    </row>
    <row r="6" spans="1:7" s="56" customFormat="1" ht="19" x14ac:dyDescent="0.2">
      <c r="A6" s="98">
        <v>2</v>
      </c>
      <c r="B6" s="100">
        <v>4</v>
      </c>
      <c r="C6" s="68" t="s">
        <v>90</v>
      </c>
      <c r="D6" s="68" t="str">
        <f>VLOOKUP(C6,nomi!B:C,2,FALSE)</f>
        <v>Danict1946</v>
      </c>
      <c r="E6" s="66" t="s">
        <v>415</v>
      </c>
      <c r="F6" s="66">
        <v>1</v>
      </c>
      <c r="G6" s="69" t="s">
        <v>418</v>
      </c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2" t="e" vm="2">
        <v>#VALUE!</v>
      </c>
      <c r="B14" s="142"/>
      <c r="C14" s="142"/>
      <c r="D14" s="142"/>
      <c r="E14" s="142"/>
      <c r="F14" s="142"/>
      <c r="G14" s="142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0"/>
      <c r="B2" s="140"/>
      <c r="C2" s="140"/>
      <c r="D2" s="140"/>
      <c r="E2" s="140"/>
      <c r="F2" s="140"/>
      <c r="G2" s="140"/>
      <c r="H2" s="15"/>
      <c r="I2" s="140"/>
      <c r="J2" s="140"/>
      <c r="K2" s="140"/>
      <c r="L2" s="140"/>
      <c r="M2" s="140"/>
      <c r="N2" s="140"/>
      <c r="O2" s="14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2024-06-23T21:57:02Z</cp:lastPrinted>
  <dcterms:created xsi:type="dcterms:W3CDTF">2023-09-05T10:19:23Z</dcterms:created>
  <dcterms:modified xsi:type="dcterms:W3CDTF">2024-06-28T19:37:02Z</dcterms:modified>
</cp:coreProperties>
</file>