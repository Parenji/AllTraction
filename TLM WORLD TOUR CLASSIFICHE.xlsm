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480A90A6-05DC-BF4E-984D-1946C28A3343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9" l="1"/>
  <c r="C19" i="9"/>
  <c r="C122" i="9"/>
  <c r="D122" i="9"/>
  <c r="D6" i="2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55" i="9" l="1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<sst xmlns="http://schemas.openxmlformats.org/spreadsheetml/2006/main" count="1144" uniqueCount="424">
  <si>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</si>
  <si>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</si>
  <si>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</si>
  <si>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</si>
  <si>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</si>
  <si>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</si>
  <si>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</si>
  <si>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</si>
  <si>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</si>
  <si>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</si>
  <si>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</si>
  <si>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</si>
  <si>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</si>
  <si>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</si>
  <si>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</si>
  <si>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</si>
  <si>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</si>
  <si>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</si>
  <si>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</si>
  <si>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</si>
  <si>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</si>
  <si>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</si>
  <si>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</si>
  <si>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</si>
  <si>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</si>
  <si>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</si>
  <si>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</si>
  <si>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</si>
  <si>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</si>
  <si>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</si>
  <si>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</si>
  <si>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</si>
  <si>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</si>
  <si>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</si>
  <si>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</si>
  <si>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</si>
  <si>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</si>
  <si>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</si>
  <si>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</si>
  <si>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</si>
  <si>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</si>
  <si>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</si>
  <si>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</si>
  <si>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</si>
  <si>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</si>
  <si>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</si>
  <si>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</si>
  <si>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</si>
  <si>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</si>
  <si>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</si>
  <si>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</si>
  <si>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</si>
  <si>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</si>
  <si>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</si>
  <si>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</si>
  <si>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</si>
  <si>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</si>
  <si>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</si>
  <si>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</si>
  <si>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</si>
  <si>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</si>
  <si>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</si>
  <si>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</si>
  <si>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</si>
  <si>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</si>
  <si>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</si>
  <si>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</si>
  <si>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</si>
  <si>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</si>
  <si>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</si>
  <si>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</si>
  <si>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</si>
  <si>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</si>
  <si>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</si>
  <si>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</si>
  <si>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</si>
  <si>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</si>
  <si>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</si>
  <si>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</si>
  <si>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</si>
  <si>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</si>
  <si>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</si>
  <si>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</si>
  <si>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</si>
  <si>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</si>
  <si>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</si>
  <si>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</si>
  <si>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</si>
  <si>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</si>
  <si>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</si>
  <si>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</si>
  <si>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</si>
  <si>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</si>
  <si>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</si>
  <si>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</si>
  <si>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</si>
  <si>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</si>
  <si>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</si>
  <si>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</si>
  <si>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</si>
  <si>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</si>
  <si>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</si>
  <si>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</si>
  <si>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</si>
  <si>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</si>
  <si>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</si>
  <si>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</si>
  <si>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</si>
  <si>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</si>
  <si>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</si>
  <si>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</si>
  <si>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</si>
  <si>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</si>
  <si>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</si>
  <si>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</si>
  <si>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</si>
  <si>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</si>
  <si>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</si>
  <si>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</si>
  <si>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</si>
  <si>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</si>
  <si>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</si>
  <si>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</si>
  <si>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</si>
  <si>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</si>
  <si>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</si>
  <si>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</si>
  <si>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</si>
  <si>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</si>
  <si>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</si>
  <si>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</si>
  <si>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</si>
  <si>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</si>
  <si>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</si>
  <si>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</si>
  <si>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</si>
  <si>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</si>
  <si>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</si>
  <si>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</si>
  <si>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</si>
  <si>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</si>
  <si>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</si>
  <si>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</si>
  <si>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</si>
  <si>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</si>
  <si>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</si>
  <si>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</si>
  <si>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</si>
  <si>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</si>
  <si>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</si>
  <si>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</si>
  <si>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</si>
  <si>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</si>
  <si>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</si>
  <si>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</si>
  <si>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</si>
  <si>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</si>
  <si>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</si>
  <si>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</si>
  <si>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</si>
  <si>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</si>
  <si>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</si>
  <si>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</si>
  <si>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</si>
  <si>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</si>
  <si>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</si>
  <si>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</si>
  <si>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</si>
  <si>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</si>
  <si>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</si>
  <si>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</si>
  <si>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</si>
  <si>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</si>
  <si>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</si>
  <si>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</si>
  <si>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</si>
  <si>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</si>
  <si>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</si>
  <si>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</si>
  <si>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</si>
  <si>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</si>
  <si>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</si>
  <si>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</si>
  <si>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</si>
  <si>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</si>
  <si>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</si>
  <si>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</si>
  <si>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</si>
  <si>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</si>
  <si>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</si>
  <si>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</si>
  <si>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</si>
  <si>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</si>
  <si>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</si>
  <si>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</si>
  <si>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</si>
  <si>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</si>
  <si>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</si>
  <si>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</si>
  <si>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</si>
  <si>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</si>
  <si>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</si>
  <si>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</si>
  <si>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</si>
  <si>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</si>
  <si>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</si>
  <si>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</si>
  <si>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</si>
  <si>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</si>
  <si>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</si>
  <si>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</si>
  <si>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</si>
  <si>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</si>
  <si>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</si>
  <si>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</si>
  <si>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</si>
  <si>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</si>
  <si>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</si>
  <si>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</si>
  <si>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</si>
  <si>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</si>
  <si>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</si>
  <si>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</si>
  <si>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</si>
  <si>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</si>
  <si>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</si>
  <si>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</si>
  <si>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</si>
  <si>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</si>
  <si>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</si>
  <si>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</si>
  <si>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</si>
  <si>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</si>
  <si>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</si>
  <si>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</si>
  <si>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</si>
  <si>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</si>
  <si>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</si>
  <si>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</si>
  <si>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</si>
  <si>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</si>
  <si>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</si>
  <si>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</si>
  <si>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</si>
  <si>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</si>
  <si>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</si>
  <si>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</si>
  <si>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</si>
  <si>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</si>
  <si>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</si>
  <si>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</si>
  <si>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</si>
  <si>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</si>
  <si>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</si>
  <si>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</si>
  <si>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</si>
  <si>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</si>
  <si>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</si>
  <si>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</si>
  <si>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</si>
  <si>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</si>
  <si>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</si>
  <si>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</si>
  <si>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</si>
  <si>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</si>
  <si>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</si>
  <si>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</si>
  <si>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</si>
  <si>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</si>
  <si>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</si>
  <si>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</si>
  <si>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</si>
  <si>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</si>
  <si>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</si>
  <si>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</si>
  <si>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</si>
  <si>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</si>
  <si>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</si>
  <si>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</si>
  <si>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</si>
  <si>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</si>
  <si>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</si>
  <si>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</si>
  <si>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</si>
  <si>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</si>
  <si>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</si>
  <si>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</si>
  <si>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</si>
  <si>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</si>
  <si>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</si>
  <si>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</si>
  <si>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</si>
  <si>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</si>
  <si>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</si>
  <si>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</si>
  <si>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</si>
  <si>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</si>
  <si>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</si>
  <si>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</si>
  <si>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</si>
  <si>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</si>
  <si>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</si>
  <si>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</si>
  <si>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</si>
  <si>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</si>
  <si>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</si>
  <si>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</si>
  <si>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</si>
  <si>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</si>
  <si>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</si>
  <si>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</si>
  <si>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</si>
  <si>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</si>
  <si>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</si>
  <si>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</si>
  <si>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</si>
  <si>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</si>
  <si>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</si>
  <si>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</si>
  <si>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</si>
  <si>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</si>
  <si>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</si>
  <si>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</si>
  <si>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</si>
  <si>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</si>
  <si>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</si>
  <si>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</si>
  <si>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</si>
  <si>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</si>
  <si>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</si>
  <si>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</si>
  <si>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</si>
  <si>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</si>
  <si>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</si>
  <si>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</si>
  <si>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</si>
  <si>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</si>
  <si>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</si>
  <si>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</si>
  <si>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</si>
  <si>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</si>
  <si>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</si>
  <si>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</si>
  <si>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</si>
  <si>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</si>
  <si>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</si>
  <si>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</si>
  <si>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</si>
  <si>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</si>
  <si>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</si>
  <si>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</si>
  <si>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</si>
  <si>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</si>
  <si>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</si>
  <si>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</si>
  <si>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</si>
  <si>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</si>
  <si>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</si>
  <si>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</si>
  <si>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</si>
  <si>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</si>
  <si>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</si>
  <si>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</si>
  <si>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</si>
  <si>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</si>
  <si>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</si>
  <si>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</si>
  <si>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</si>
  <si>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</si>
  <si>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</si>
  <si>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</si>
  <si>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</si>
  <si>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</si>
  <si>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</si>
  <si>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</si>
  <si>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</si>
  <si>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</si>
  <si>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</si>
  <si>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</si>
  <si>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</si>
  <si>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</si>
  <si>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</si>
  <si>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</si>
  <si>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</si>
  <si>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</si>
  <si>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</si>
  <si>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</si>
  <si>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</si>
  <si>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</si>
  <si>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</si>
  <si>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</si>
  <si>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</si>
  <si>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</si>
  <si>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</si>
  <si>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</si>
  <si>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</si>
  <si>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</si>
  <si>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</si>
  <si>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</si>
  <si>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</si>
  <si>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</si>
  <si>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</si>
  <si>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</si>
  <si>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</si>
  <si>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</si>
  <si>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</si>
  <si>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</si>
  <si>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</si>
  <si>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</si>
  <si>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</si>
  <si>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</si>
  <si>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</si>
  <si>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</si>
  <si>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</si>
  <si>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</si>
  <si>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</si>
  <si>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</si>
  <si>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</si>
  <si>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</si>
  <si>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</si>
  <si>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</si>
  <si>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</si>
  <si>
    <t>LOBBY GARA 4</t>
  </si>
  <si>
    <t>TLM_TheGuarny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</si>
</sst>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381000</xdr:colOff>
      <xdr:row>14</xdr:row>
      <xdr:rowOff>152399</xdr:rowOff>
    </xdr:from>
    <xdr:to>
      <xdr:col>6</xdr:col>
      <xdr:colOff>3776133</xdr:colOff>
      <xdr:row>33</xdr:row>
      <xdr:rowOff>83111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5317066"/>
          <a:ext cx="10202333" cy="3469778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10" zoomScale="94" zoomScaleNormal="94" workbookViewId="0">
      <selection activeCell="I54" sqref="I5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15" t="s">
        <v>95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33" ht="22" customHeight="1" x14ac:dyDescent="0.2">
      <c r="A2" s="114" t="s">
        <v>0</v>
      </c>
      <c r="B2" s="116" t="s">
        <v>14</v>
      </c>
      <c r="C2" s="107" t="s">
        <v>46</v>
      </c>
      <c r="D2" s="108"/>
      <c r="E2" s="108"/>
      <c r="F2" s="109"/>
      <c r="G2" s="107" t="s">
        <v>40</v>
      </c>
      <c r="H2" s="108"/>
      <c r="I2" s="108"/>
      <c r="J2" s="109"/>
      <c r="K2" s="107" t="s">
        <v>47</v>
      </c>
      <c r="L2" s="108"/>
      <c r="M2" s="108"/>
      <c r="N2" s="109"/>
      <c r="O2" s="107" t="s">
        <v>39</v>
      </c>
      <c r="P2" s="108"/>
      <c r="Q2" s="108"/>
      <c r="R2" s="109"/>
      <c r="S2" s="107" t="s">
        <v>41</v>
      </c>
      <c r="T2" s="108"/>
      <c r="U2" s="108"/>
      <c r="V2" s="109"/>
      <c r="W2" s="107" t="s">
        <v>48</v>
      </c>
      <c r="X2" s="108"/>
      <c r="Y2" s="108"/>
      <c r="Z2" s="109"/>
      <c r="AA2" s="102" t="s">
        <v>34</v>
      </c>
    </row>
    <row r="3" spans="1:33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2"/>
    </row>
    <row r="4" spans="1:33" ht="19" customHeight="1" x14ac:dyDescent="0.2">
      <c r="A4" s="110" t="s">
        <v>30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/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12" t="s">
        <v>31</v>
      </c>
      <c r="B19" s="11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382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0</v>
      </c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257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70</v>
      </c>
    </row>
    <row r="32" spans="1:16358" ht="19" customHeight="1" x14ac:dyDescent="0.25">
      <c r="A32" s="5" t="s">
        <v>20</v>
      </c>
      <c r="B32" s="59" t="s">
        <v>367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10" t="s">
        <v>49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302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340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12" t="s">
        <v>50</v>
      </c>
      <c r="B49" s="11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138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404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169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42</v>
      </c>
      <c r="B66" s="104"/>
      <c r="C66" s="107" t="s">
        <v>46</v>
      </c>
      <c r="D66" s="108"/>
      <c r="E66" s="108"/>
      <c r="F66" s="109"/>
      <c r="G66" s="107" t="s">
        <v>40</v>
      </c>
      <c r="H66" s="108"/>
      <c r="I66" s="108"/>
      <c r="J66" s="109"/>
      <c r="K66" s="107" t="s">
        <v>47</v>
      </c>
      <c r="L66" s="108"/>
      <c r="M66" s="108"/>
      <c r="N66" s="109"/>
      <c r="O66" s="107" t="s">
        <v>39</v>
      </c>
      <c r="P66" s="108"/>
      <c r="Q66" s="108"/>
      <c r="R66" s="109"/>
      <c r="S66" s="107" t="s">
        <v>41</v>
      </c>
      <c r="T66" s="108"/>
      <c r="U66" s="108"/>
      <c r="V66" s="109"/>
      <c r="W66" s="107" t="s">
        <v>48</v>
      </c>
      <c r="X66" s="108"/>
      <c r="Y66" s="108"/>
      <c r="Z66" s="109"/>
      <c r="AA66" s="102" t="s">
        <v>34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2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7" x14ac:dyDescent="0.25">
      <c r="A72" s="28">
        <v>5</v>
      </c>
      <c r="B72" s="59"/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382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367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302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340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138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404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169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  <mergeCell ref="AA66:AA67"/>
    <mergeCell ref="A66:B67"/>
    <mergeCell ref="O66:R66"/>
    <mergeCell ref="S66:V66"/>
    <mergeCell ref="W66:Z66"/>
    <mergeCell ref="C66:F66"/>
    <mergeCell ref="G66:J66"/>
    <mergeCell ref="K66:N66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C58" sqref="C58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405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423</v>
      </c>
      <c r="D2" t="s">
        <v>102</v>
      </c>
      <c r="E2" t="s">
        <v>103</v>
      </c>
      <c r="F2" t="s">
        <v>104</v>
      </c>
      <c r="G2" t="s">
        <v>129</v>
      </c>
      <c r="H2" t="s">
        <v>105</v>
      </c>
      <c r="I2" t="s">
        <v>106</v>
      </c>
    </row>
    <row r="3" spans="1:9" x14ac:dyDescent="0.2">
      <c r="A3">
        <v>2</v>
      </c>
      <c r="B3" t="s">
        <v>56</v>
      </c>
      <c r="C3" t="s">
        <v>107</v>
      </c>
      <c r="D3" t="s">
        <v>102</v>
      </c>
      <c r="E3" t="s">
        <v>108</v>
      </c>
      <c r="F3" t="s">
        <v>109</v>
      </c>
      <c r="G3" t="s">
        <v>129</v>
      </c>
      <c r="H3" t="s">
        <v>110</v>
      </c>
      <c r="I3" t="s">
        <v>111</v>
      </c>
    </row>
    <row r="4" spans="1:9" x14ac:dyDescent="0.2">
      <c r="A4">
        <v>3</v>
      </c>
      <c r="B4" t="s">
        <v>112</v>
      </c>
      <c r="C4" t="s">
        <v>113</v>
      </c>
      <c r="D4" t="s">
        <v>102</v>
      </c>
      <c r="E4" t="s">
        <v>114</v>
      </c>
      <c r="F4" t="s">
        <v>115</v>
      </c>
      <c r="G4" t="s">
        <v>129</v>
      </c>
      <c r="H4" t="s">
        <v>116</v>
      </c>
      <c r="I4" t="s">
        <v>117</v>
      </c>
    </row>
    <row r="5" spans="1:9" x14ac:dyDescent="0.2">
      <c r="A5">
        <v>4</v>
      </c>
      <c r="B5" t="s">
        <v>83</v>
      </c>
      <c r="C5" t="s">
        <v>118</v>
      </c>
      <c r="D5" t="s">
        <v>102</v>
      </c>
      <c r="E5" t="s">
        <v>103</v>
      </c>
      <c r="F5" t="s">
        <v>120</v>
      </c>
      <c r="G5" t="s">
        <v>129</v>
      </c>
      <c r="H5" t="s">
        <v>121</v>
      </c>
      <c r="I5" t="s">
        <v>122</v>
      </c>
    </row>
    <row r="6" spans="1:9" x14ac:dyDescent="0.2">
      <c r="A6">
        <v>5</v>
      </c>
      <c r="B6" t="s">
        <v>81</v>
      </c>
      <c r="C6" t="s">
        <v>81</v>
      </c>
      <c r="D6" t="s">
        <v>102</v>
      </c>
      <c r="E6" t="s">
        <v>114</v>
      </c>
      <c r="F6" t="s">
        <v>123</v>
      </c>
      <c r="G6" t="s">
        <v>129</v>
      </c>
      <c r="H6" t="s">
        <v>124</v>
      </c>
      <c r="I6" t="s">
        <v>125</v>
      </c>
    </row>
    <row r="7" spans="1:9" x14ac:dyDescent="0.2">
      <c r="A7">
        <v>6</v>
      </c>
      <c r="B7" t="s">
        <v>32</v>
      </c>
      <c r="C7" t="s">
        <v>32</v>
      </c>
      <c r="D7" t="s">
        <v>102</v>
      </c>
      <c r="E7" t="s">
        <v>114</v>
      </c>
      <c r="F7" t="s">
        <v>126</v>
      </c>
      <c r="G7" t="s">
        <v>129</v>
      </c>
      <c r="H7" t="s">
        <v>127</v>
      </c>
      <c r="I7" t="s">
        <v>128</v>
      </c>
    </row>
    <row r="8" spans="1:9" x14ac:dyDescent="0.2">
      <c r="A8">
        <v>7</v>
      </c>
      <c r="B8" t="s">
        <v>36</v>
      </c>
      <c r="C8" t="s">
        <v>36</v>
      </c>
      <c r="D8" t="s">
        <v>102</v>
      </c>
      <c r="E8" t="s">
        <v>130</v>
      </c>
      <c r="F8" t="s">
        <v>131</v>
      </c>
      <c r="G8" t="s">
        <v>129</v>
      </c>
      <c r="H8" t="s">
        <v>132</v>
      </c>
      <c r="I8" t="s">
        <v>133</v>
      </c>
    </row>
    <row r="9" spans="1:9" x14ac:dyDescent="0.2">
      <c r="A9">
        <v>8</v>
      </c>
      <c r="B9" t="s">
        <v>43</v>
      </c>
      <c r="C9" t="s">
        <v>134</v>
      </c>
      <c r="D9" t="s">
        <v>102</v>
      </c>
      <c r="E9" t="s">
        <v>114</v>
      </c>
      <c r="F9" t="s">
        <v>135</v>
      </c>
      <c r="G9" t="s">
        <v>129</v>
      </c>
      <c r="H9" t="s">
        <v>136</v>
      </c>
      <c r="I9" t="s">
        <v>137</v>
      </c>
    </row>
    <row r="10" spans="1:9" x14ac:dyDescent="0.2">
      <c r="A10">
        <v>9</v>
      </c>
      <c r="B10" t="s">
        <v>138</v>
      </c>
      <c r="C10" t="s">
        <v>139</v>
      </c>
      <c r="D10" t="s">
        <v>102</v>
      </c>
      <c r="E10" t="s">
        <v>141</v>
      </c>
      <c r="F10" t="s">
        <v>142</v>
      </c>
      <c r="G10" t="s">
        <v>129</v>
      </c>
      <c r="H10" t="s">
        <v>143</v>
      </c>
      <c r="I10" t="s">
        <v>144</v>
      </c>
    </row>
    <row r="11" spans="1:9" x14ac:dyDescent="0.2">
      <c r="A11">
        <v>10</v>
      </c>
      <c r="B11" t="s">
        <v>145</v>
      </c>
      <c r="C11" t="s">
        <v>146</v>
      </c>
      <c r="D11" t="s">
        <v>102</v>
      </c>
      <c r="E11" t="s">
        <v>114</v>
      </c>
      <c r="F11" t="s">
        <v>147</v>
      </c>
      <c r="G11" t="s">
        <v>129</v>
      </c>
      <c r="H11" t="s">
        <v>148</v>
      </c>
      <c r="I11" t="s">
        <v>149</v>
      </c>
    </row>
    <row r="12" spans="1:9" x14ac:dyDescent="0.2">
      <c r="A12">
        <v>11</v>
      </c>
      <c r="B12" t="s">
        <v>84</v>
      </c>
      <c r="C12" t="s">
        <v>390</v>
      </c>
      <c r="D12" t="s">
        <v>102</v>
      </c>
      <c r="E12" t="s">
        <v>114</v>
      </c>
      <c r="F12" t="s">
        <v>150</v>
      </c>
      <c r="G12" t="s">
        <v>129</v>
      </c>
      <c r="H12" t="s">
        <v>151</v>
      </c>
      <c r="I12" t="s">
        <v>152</v>
      </c>
    </row>
    <row r="13" spans="1:9" x14ac:dyDescent="0.2">
      <c r="A13">
        <v>12</v>
      </c>
      <c r="B13" t="s">
        <v>63</v>
      </c>
      <c r="C13" t="s">
        <v>153</v>
      </c>
      <c r="D13" t="s">
        <v>154</v>
      </c>
      <c r="E13" t="s">
        <v>155</v>
      </c>
      <c r="F13" t="s">
        <v>156</v>
      </c>
      <c r="G13" t="s">
        <v>406</v>
      </c>
      <c r="H13" t="s">
        <v>157</v>
      </c>
      <c r="I13" t="s">
        <v>158</v>
      </c>
    </row>
    <row r="14" spans="1:9" x14ac:dyDescent="0.2">
      <c r="A14">
        <v>13</v>
      </c>
      <c r="B14" t="s">
        <v>53</v>
      </c>
      <c r="C14" t="s">
        <v>159</v>
      </c>
      <c r="D14" t="s">
        <v>119</v>
      </c>
      <c r="E14" t="s">
        <v>160</v>
      </c>
      <c r="F14" t="s">
        <v>161</v>
      </c>
      <c r="G14" t="s">
        <v>129</v>
      </c>
      <c r="H14" t="s">
        <v>162</v>
      </c>
      <c r="I14" t="s">
        <v>163</v>
      </c>
    </row>
    <row r="15" spans="1:9" x14ac:dyDescent="0.2">
      <c r="A15">
        <v>14</v>
      </c>
      <c r="B15" t="s">
        <v>74</v>
      </c>
      <c r="C15" t="s">
        <v>164</v>
      </c>
      <c r="D15" t="s">
        <v>102</v>
      </c>
      <c r="E15" t="s">
        <v>165</v>
      </c>
      <c r="F15" t="s">
        <v>166</v>
      </c>
      <c r="G15" t="s">
        <v>129</v>
      </c>
      <c r="H15" t="s">
        <v>167</v>
      </c>
      <c r="I15" t="s">
        <v>168</v>
      </c>
    </row>
    <row r="16" spans="1:9" x14ac:dyDescent="0.2">
      <c r="A16">
        <v>15</v>
      </c>
      <c r="B16" t="s">
        <v>169</v>
      </c>
      <c r="C16" t="s">
        <v>170</v>
      </c>
      <c r="D16" t="s">
        <v>171</v>
      </c>
      <c r="E16" t="s">
        <v>103</v>
      </c>
      <c r="F16" t="s">
        <v>172</v>
      </c>
      <c r="G16" t="s">
        <v>129</v>
      </c>
      <c r="H16" t="s">
        <v>173</v>
      </c>
      <c r="I16" t="s">
        <v>174</v>
      </c>
    </row>
    <row r="17" spans="1:15" x14ac:dyDescent="0.2">
      <c r="A17">
        <v>16</v>
      </c>
      <c r="B17" t="s">
        <v>175</v>
      </c>
      <c r="C17" t="s">
        <v>176</v>
      </c>
      <c r="D17" t="s">
        <v>102</v>
      </c>
      <c r="E17" t="s">
        <v>103</v>
      </c>
      <c r="F17" t="s">
        <v>177</v>
      </c>
      <c r="G17" t="s">
        <v>129</v>
      </c>
      <c r="H17" t="s">
        <v>178</v>
      </c>
      <c r="I17" t="s">
        <v>179</v>
      </c>
    </row>
    <row r="18" spans="1:15" x14ac:dyDescent="0.2">
      <c r="A18">
        <v>17</v>
      </c>
      <c r="B18" t="s">
        <v>33</v>
      </c>
      <c r="C18" t="s">
        <v>33</v>
      </c>
      <c r="D18" t="s">
        <v>119</v>
      </c>
      <c r="E18" t="s">
        <v>180</v>
      </c>
      <c r="F18" t="s">
        <v>181</v>
      </c>
      <c r="G18" t="s">
        <v>412</v>
      </c>
      <c r="H18" t="s">
        <v>182</v>
      </c>
      <c r="I18" t="s">
        <v>183</v>
      </c>
    </row>
    <row r="19" spans="1:15" x14ac:dyDescent="0.2">
      <c r="A19">
        <v>18</v>
      </c>
      <c r="B19" t="s">
        <v>58</v>
      </c>
      <c r="C19" t="s">
        <v>184</v>
      </c>
      <c r="D19" t="s">
        <v>102</v>
      </c>
      <c r="E19" t="s">
        <v>160</v>
      </c>
      <c r="F19" t="s">
        <v>185</v>
      </c>
      <c r="G19" t="s">
        <v>129</v>
      </c>
      <c r="H19" t="s">
        <v>186</v>
      </c>
      <c r="I19" t="s">
        <v>187</v>
      </c>
    </row>
    <row r="20" spans="1:15" x14ac:dyDescent="0.2">
      <c r="A20">
        <v>19</v>
      </c>
      <c r="B20" t="s">
        <v>62</v>
      </c>
      <c r="C20" t="s">
        <v>62</v>
      </c>
      <c r="D20" t="s">
        <v>102</v>
      </c>
      <c r="E20" t="s">
        <v>188</v>
      </c>
      <c r="F20" t="s">
        <v>189</v>
      </c>
      <c r="G20" t="s">
        <v>129</v>
      </c>
      <c r="H20" t="s">
        <v>190</v>
      </c>
      <c r="I20" t="s">
        <v>191</v>
      </c>
    </row>
    <row r="21" spans="1:15" x14ac:dyDescent="0.2">
      <c r="A21">
        <v>20</v>
      </c>
      <c r="B21" t="s">
        <v>67</v>
      </c>
      <c r="C21" t="s">
        <v>192</v>
      </c>
      <c r="D21" t="s">
        <v>119</v>
      </c>
      <c r="E21" t="s">
        <v>193</v>
      </c>
      <c r="F21" t="s">
        <v>194</v>
      </c>
      <c r="G21" t="s">
        <v>129</v>
      </c>
      <c r="H21" t="s">
        <v>195</v>
      </c>
      <c r="I21" t="s">
        <v>196</v>
      </c>
    </row>
    <row r="22" spans="1:15" x14ac:dyDescent="0.2">
      <c r="A22">
        <v>21</v>
      </c>
      <c r="B22" t="s">
        <v>51</v>
      </c>
      <c r="C22" t="s">
        <v>197</v>
      </c>
      <c r="D22" t="s">
        <v>102</v>
      </c>
      <c r="E22" t="s">
        <v>198</v>
      </c>
      <c r="F22" t="s">
        <v>199</v>
      </c>
      <c r="G22" t="s">
        <v>129</v>
      </c>
      <c r="H22" t="s">
        <v>200</v>
      </c>
      <c r="I22" t="s">
        <v>201</v>
      </c>
    </row>
    <row r="23" spans="1:15" x14ac:dyDescent="0.2">
      <c r="A23">
        <v>22</v>
      </c>
      <c r="B23" t="s">
        <v>389</v>
      </c>
      <c r="C23" t="s">
        <v>202</v>
      </c>
      <c r="D23" t="s">
        <v>102</v>
      </c>
      <c r="E23" t="s">
        <v>103</v>
      </c>
      <c r="F23" t="s">
        <v>203</v>
      </c>
      <c r="G23" t="s">
        <v>129</v>
      </c>
      <c r="H23" t="s">
        <v>204</v>
      </c>
      <c r="I23" t="s">
        <v>205</v>
      </c>
    </row>
    <row r="24" spans="1:15" x14ac:dyDescent="0.2">
      <c r="A24">
        <v>23</v>
      </c>
      <c r="B24" t="s">
        <v>75</v>
      </c>
      <c r="C24" t="s">
        <v>206</v>
      </c>
      <c r="D24" t="s">
        <v>119</v>
      </c>
      <c r="E24" t="s">
        <v>103</v>
      </c>
      <c r="F24" t="s">
        <v>207</v>
      </c>
      <c r="G24" t="s">
        <v>129</v>
      </c>
      <c r="H24" t="s">
        <v>208</v>
      </c>
      <c r="I24" t="s">
        <v>209</v>
      </c>
    </row>
    <row r="25" spans="1:15" x14ac:dyDescent="0.2">
      <c r="A25">
        <v>24</v>
      </c>
      <c r="B25" t="s">
        <v>210</v>
      </c>
      <c r="C25" t="s">
        <v>211</v>
      </c>
      <c r="D25" t="s">
        <v>212</v>
      </c>
      <c r="E25" t="s">
        <v>213</v>
      </c>
      <c r="F25" t="s">
        <v>214</v>
      </c>
      <c r="G25" t="s">
        <v>407</v>
      </c>
      <c r="H25" t="s">
        <v>215</v>
      </c>
      <c r="I25" t="s">
        <v>216</v>
      </c>
      <c r="O25" t="s">
        <v>202</v>
      </c>
    </row>
    <row r="26" spans="1:15" x14ac:dyDescent="0.2">
      <c r="A26">
        <v>25</v>
      </c>
      <c r="B26" t="s">
        <v>89</v>
      </c>
      <c r="C26" t="s">
        <v>89</v>
      </c>
      <c r="D26" t="s">
        <v>102</v>
      </c>
      <c r="E26" t="s">
        <v>217</v>
      </c>
      <c r="F26" t="s">
        <v>218</v>
      </c>
      <c r="G26" t="s">
        <v>129</v>
      </c>
      <c r="H26" t="s">
        <v>219</v>
      </c>
      <c r="I26" t="s">
        <v>220</v>
      </c>
    </row>
    <row r="27" spans="1:15" x14ac:dyDescent="0.2">
      <c r="A27">
        <v>26</v>
      </c>
      <c r="B27" t="s">
        <v>76</v>
      </c>
      <c r="C27" t="s">
        <v>221</v>
      </c>
      <c r="D27" t="s">
        <v>222</v>
      </c>
      <c r="E27" t="s">
        <v>114</v>
      </c>
      <c r="F27" t="s">
        <v>223</v>
      </c>
      <c r="G27" t="s">
        <v>406</v>
      </c>
      <c r="H27" t="s">
        <v>224</v>
      </c>
      <c r="I27" t="s">
        <v>225</v>
      </c>
    </row>
    <row r="28" spans="1:15" x14ac:dyDescent="0.2">
      <c r="A28">
        <v>27</v>
      </c>
      <c r="B28" t="s">
        <v>226</v>
      </c>
      <c r="C28" t="s">
        <v>227</v>
      </c>
      <c r="D28" t="s">
        <v>102</v>
      </c>
      <c r="E28" t="s">
        <v>108</v>
      </c>
      <c r="F28" t="s">
        <v>228</v>
      </c>
      <c r="G28" t="s">
        <v>129</v>
      </c>
      <c r="H28" t="s">
        <v>229</v>
      </c>
      <c r="I28" t="s">
        <v>230</v>
      </c>
    </row>
    <row r="29" spans="1:15" x14ac:dyDescent="0.2">
      <c r="A29">
        <v>28</v>
      </c>
      <c r="B29" t="s">
        <v>55</v>
      </c>
      <c r="C29" t="s">
        <v>231</v>
      </c>
      <c r="D29" t="s">
        <v>102</v>
      </c>
      <c r="E29" t="s">
        <v>232</v>
      </c>
      <c r="F29" t="s">
        <v>233</v>
      </c>
      <c r="G29" t="s">
        <v>129</v>
      </c>
      <c r="H29" t="s">
        <v>234</v>
      </c>
      <c r="I29" t="s">
        <v>235</v>
      </c>
    </row>
    <row r="30" spans="1:15" x14ac:dyDescent="0.2">
      <c r="A30">
        <v>29</v>
      </c>
      <c r="B30" t="s">
        <v>88</v>
      </c>
      <c r="C30" t="s">
        <v>236</v>
      </c>
      <c r="D30" t="s">
        <v>222</v>
      </c>
      <c r="E30" t="s">
        <v>237</v>
      </c>
      <c r="F30" t="s">
        <v>238</v>
      </c>
      <c r="G30" t="s">
        <v>406</v>
      </c>
      <c r="H30" t="s">
        <v>239</v>
      </c>
      <c r="I30" t="s">
        <v>240</v>
      </c>
    </row>
    <row r="31" spans="1:15" x14ac:dyDescent="0.2">
      <c r="A31">
        <v>30</v>
      </c>
      <c r="B31" t="s">
        <v>79</v>
      </c>
      <c r="C31" t="s">
        <v>241</v>
      </c>
      <c r="D31" t="s">
        <v>242</v>
      </c>
      <c r="E31" t="s">
        <v>243</v>
      </c>
      <c r="F31" t="s">
        <v>244</v>
      </c>
      <c r="G31" t="s">
        <v>408</v>
      </c>
      <c r="H31" t="s">
        <v>245</v>
      </c>
      <c r="I31" t="s">
        <v>246</v>
      </c>
    </row>
    <row r="32" spans="1:15" x14ac:dyDescent="0.2">
      <c r="A32">
        <v>31</v>
      </c>
      <c r="B32" t="s">
        <v>247</v>
      </c>
      <c r="C32" t="s">
        <v>248</v>
      </c>
      <c r="D32" t="s">
        <v>249</v>
      </c>
      <c r="E32" t="s">
        <v>160</v>
      </c>
      <c r="F32" t="s">
        <v>250</v>
      </c>
      <c r="G32" t="s">
        <v>408</v>
      </c>
      <c r="H32" t="s">
        <v>251</v>
      </c>
      <c r="I32" t="s">
        <v>252</v>
      </c>
    </row>
    <row r="33" spans="1:9" x14ac:dyDescent="0.2">
      <c r="A33">
        <v>32</v>
      </c>
      <c r="B33" t="s">
        <v>71</v>
      </c>
      <c r="C33" t="s">
        <v>401</v>
      </c>
      <c r="D33" t="s">
        <v>102</v>
      </c>
      <c r="E33" t="s">
        <v>253</v>
      </c>
      <c r="F33" t="s">
        <v>254</v>
      </c>
      <c r="G33" t="s">
        <v>129</v>
      </c>
      <c r="H33" t="s">
        <v>255</v>
      </c>
      <c r="I33" t="s">
        <v>256</v>
      </c>
    </row>
    <row r="34" spans="1:9" x14ac:dyDescent="0.2">
      <c r="A34">
        <v>33</v>
      </c>
      <c r="B34" t="s">
        <v>80</v>
      </c>
      <c r="C34" t="s">
        <v>257</v>
      </c>
      <c r="D34" t="s">
        <v>258</v>
      </c>
      <c r="E34" t="s">
        <v>141</v>
      </c>
      <c r="F34" t="s">
        <v>259</v>
      </c>
      <c r="G34" t="s">
        <v>408</v>
      </c>
      <c r="H34" t="s">
        <v>260</v>
      </c>
      <c r="I34" t="s">
        <v>261</v>
      </c>
    </row>
    <row r="35" spans="1:9" x14ac:dyDescent="0.2">
      <c r="A35">
        <v>34</v>
      </c>
      <c r="B35" t="s">
        <v>64</v>
      </c>
      <c r="C35" t="s">
        <v>64</v>
      </c>
      <c r="D35" t="s">
        <v>262</v>
      </c>
      <c r="E35" t="s">
        <v>253</v>
      </c>
      <c r="F35" t="s">
        <v>263</v>
      </c>
      <c r="G35" t="s">
        <v>406</v>
      </c>
      <c r="H35" t="s">
        <v>264</v>
      </c>
      <c r="I35" t="s">
        <v>265</v>
      </c>
    </row>
    <row r="36" spans="1:9" x14ac:dyDescent="0.2">
      <c r="A36">
        <v>35</v>
      </c>
      <c r="B36" t="s">
        <v>59</v>
      </c>
      <c r="C36" t="s">
        <v>59</v>
      </c>
      <c r="D36" t="s">
        <v>102</v>
      </c>
      <c r="E36" t="s">
        <v>266</v>
      </c>
      <c r="F36" t="s">
        <v>267</v>
      </c>
      <c r="G36" t="s">
        <v>412</v>
      </c>
      <c r="H36" t="s">
        <v>268</v>
      </c>
      <c r="I36" t="s">
        <v>269</v>
      </c>
    </row>
    <row r="37" spans="1:9" x14ac:dyDescent="0.2">
      <c r="A37">
        <v>36</v>
      </c>
      <c r="B37" t="s">
        <v>38</v>
      </c>
      <c r="C37" t="s">
        <v>270</v>
      </c>
      <c r="D37" t="s">
        <v>102</v>
      </c>
      <c r="E37" t="s">
        <v>266</v>
      </c>
      <c r="F37" t="s">
        <v>271</v>
      </c>
      <c r="G37" t="s">
        <v>412</v>
      </c>
      <c r="H37" t="s">
        <v>272</v>
      </c>
      <c r="I37" t="s">
        <v>273</v>
      </c>
    </row>
    <row r="38" spans="1:9" x14ac:dyDescent="0.2">
      <c r="A38">
        <v>37</v>
      </c>
      <c r="B38" t="s">
        <v>61</v>
      </c>
      <c r="C38" t="s">
        <v>61</v>
      </c>
      <c r="D38" t="s">
        <v>274</v>
      </c>
      <c r="E38" t="s">
        <v>141</v>
      </c>
      <c r="F38" t="s">
        <v>275</v>
      </c>
      <c r="G38" t="s">
        <v>408</v>
      </c>
      <c r="H38" t="s">
        <v>276</v>
      </c>
      <c r="I38" t="s">
        <v>277</v>
      </c>
    </row>
    <row r="39" spans="1:9" x14ac:dyDescent="0.2">
      <c r="A39">
        <v>38</v>
      </c>
      <c r="B39" t="s">
        <v>69</v>
      </c>
      <c r="C39" t="s">
        <v>278</v>
      </c>
      <c r="D39" t="s">
        <v>102</v>
      </c>
      <c r="E39" t="s">
        <v>279</v>
      </c>
      <c r="F39" t="s">
        <v>280</v>
      </c>
      <c r="G39" t="s">
        <v>412</v>
      </c>
      <c r="H39" t="s">
        <v>281</v>
      </c>
      <c r="I39" t="s">
        <v>282</v>
      </c>
    </row>
    <row r="40" spans="1:9" x14ac:dyDescent="0.2">
      <c r="A40">
        <v>39</v>
      </c>
      <c r="B40" t="s">
        <v>65</v>
      </c>
      <c r="C40" t="s">
        <v>283</v>
      </c>
      <c r="D40" t="s">
        <v>102</v>
      </c>
      <c r="E40" t="s">
        <v>284</v>
      </c>
      <c r="F40" t="s">
        <v>285</v>
      </c>
      <c r="G40" t="s">
        <v>412</v>
      </c>
      <c r="H40" t="s">
        <v>286</v>
      </c>
      <c r="I40" t="s">
        <v>287</v>
      </c>
    </row>
    <row r="41" spans="1:9" x14ac:dyDescent="0.2">
      <c r="A41">
        <v>40</v>
      </c>
      <c r="B41" t="s">
        <v>85</v>
      </c>
      <c r="C41" t="s">
        <v>288</v>
      </c>
      <c r="D41" t="s">
        <v>289</v>
      </c>
      <c r="E41" t="s">
        <v>141</v>
      </c>
      <c r="F41" t="s">
        <v>290</v>
      </c>
      <c r="G41" t="s">
        <v>408</v>
      </c>
      <c r="H41" t="s">
        <v>291</v>
      </c>
      <c r="I41" t="s">
        <v>292</v>
      </c>
    </row>
    <row r="42" spans="1:9" x14ac:dyDescent="0.2">
      <c r="A42">
        <v>41</v>
      </c>
      <c r="B42" t="s">
        <v>293</v>
      </c>
      <c r="C42" t="s">
        <v>293</v>
      </c>
      <c r="D42" t="s">
        <v>154</v>
      </c>
      <c r="E42" t="s">
        <v>217</v>
      </c>
      <c r="F42" t="s">
        <v>294</v>
      </c>
      <c r="G42" t="s">
        <v>406</v>
      </c>
      <c r="H42" t="s">
        <v>295</v>
      </c>
      <c r="I42" t="s">
        <v>296</v>
      </c>
    </row>
    <row r="43" spans="1:9" x14ac:dyDescent="0.2">
      <c r="A43">
        <v>42</v>
      </c>
      <c r="B43" t="s">
        <v>57</v>
      </c>
      <c r="C43" t="s">
        <v>297</v>
      </c>
      <c r="D43" t="s">
        <v>298</v>
      </c>
      <c r="E43" t="s">
        <v>103</v>
      </c>
      <c r="F43" t="s">
        <v>299</v>
      </c>
      <c r="G43" t="s">
        <v>409</v>
      </c>
      <c r="H43" t="s">
        <v>300</v>
      </c>
      <c r="I43" t="s">
        <v>301</v>
      </c>
    </row>
    <row r="44" spans="1:9" x14ac:dyDescent="0.2">
      <c r="A44">
        <v>43</v>
      </c>
      <c r="B44" t="s">
        <v>302</v>
      </c>
      <c r="C44" t="s">
        <v>303</v>
      </c>
      <c r="D44" t="s">
        <v>154</v>
      </c>
      <c r="E44" t="s">
        <v>193</v>
      </c>
      <c r="F44" t="s">
        <v>304</v>
      </c>
      <c r="G44" t="s">
        <v>406</v>
      </c>
      <c r="H44" t="s">
        <v>305</v>
      </c>
      <c r="I44" t="s">
        <v>306</v>
      </c>
    </row>
    <row r="45" spans="1:9" x14ac:dyDescent="0.2">
      <c r="A45">
        <v>44</v>
      </c>
      <c r="B45" t="s">
        <v>90</v>
      </c>
      <c r="C45" t="s">
        <v>307</v>
      </c>
      <c r="D45" t="s">
        <v>119</v>
      </c>
      <c r="E45" t="s">
        <v>180</v>
      </c>
      <c r="F45" t="s">
        <v>308</v>
      </c>
      <c r="G45" t="s">
        <v>412</v>
      </c>
      <c r="H45" t="s">
        <v>309</v>
      </c>
      <c r="I45" t="s">
        <v>310</v>
      </c>
    </row>
    <row r="46" spans="1:9" x14ac:dyDescent="0.2">
      <c r="A46">
        <v>45</v>
      </c>
      <c r="B46" t="s">
        <v>73</v>
      </c>
      <c r="C46" t="s">
        <v>311</v>
      </c>
      <c r="D46" t="s">
        <v>102</v>
      </c>
      <c r="E46" t="s">
        <v>279</v>
      </c>
      <c r="F46" t="s">
        <v>312</v>
      </c>
      <c r="G46" t="s">
        <v>412</v>
      </c>
      <c r="H46" t="s">
        <v>313</v>
      </c>
      <c r="I46" t="s">
        <v>314</v>
      </c>
    </row>
    <row r="47" spans="1:9" x14ac:dyDescent="0.2">
      <c r="A47">
        <v>46</v>
      </c>
      <c r="B47" t="s">
        <v>87</v>
      </c>
      <c r="C47" t="s">
        <v>315</v>
      </c>
      <c r="D47" t="s">
        <v>316</v>
      </c>
      <c r="E47" t="s">
        <v>103</v>
      </c>
      <c r="F47" t="s">
        <v>317</v>
      </c>
      <c r="G47" t="s">
        <v>406</v>
      </c>
      <c r="H47" t="s">
        <v>318</v>
      </c>
      <c r="I47" t="s">
        <v>319</v>
      </c>
    </row>
    <row r="48" spans="1:9" x14ac:dyDescent="0.2">
      <c r="A48">
        <v>47</v>
      </c>
      <c r="B48" t="s">
        <v>92</v>
      </c>
      <c r="C48" t="s">
        <v>37</v>
      </c>
      <c r="D48" t="s">
        <v>140</v>
      </c>
      <c r="E48" t="s">
        <v>114</v>
      </c>
      <c r="F48" t="s">
        <v>320</v>
      </c>
      <c r="G48" t="s">
        <v>129</v>
      </c>
      <c r="H48" t="s">
        <v>321</v>
      </c>
      <c r="I48" t="s">
        <v>322</v>
      </c>
    </row>
    <row r="49" spans="1:9" x14ac:dyDescent="0.2">
      <c r="A49">
        <v>48</v>
      </c>
      <c r="B49" t="s">
        <v>70</v>
      </c>
      <c r="C49" t="s">
        <v>323</v>
      </c>
      <c r="D49" t="s">
        <v>324</v>
      </c>
      <c r="E49" t="s">
        <v>325</v>
      </c>
      <c r="F49" t="s">
        <v>326</v>
      </c>
      <c r="G49" t="s">
        <v>406</v>
      </c>
      <c r="H49" t="s">
        <v>327</v>
      </c>
      <c r="I49" t="s">
        <v>328</v>
      </c>
    </row>
    <row r="50" spans="1:9" x14ac:dyDescent="0.2">
      <c r="A50">
        <v>49</v>
      </c>
      <c r="B50" t="s">
        <v>91</v>
      </c>
      <c r="C50" t="s">
        <v>329</v>
      </c>
      <c r="D50" t="s">
        <v>330</v>
      </c>
      <c r="E50" t="s">
        <v>103</v>
      </c>
      <c r="F50" t="s">
        <v>331</v>
      </c>
      <c r="G50" t="s">
        <v>409</v>
      </c>
      <c r="H50" t="s">
        <v>332</v>
      </c>
      <c r="I50" t="s">
        <v>333</v>
      </c>
    </row>
    <row r="51" spans="1:9" x14ac:dyDescent="0.2">
      <c r="A51">
        <v>50</v>
      </c>
      <c r="B51" t="s">
        <v>334</v>
      </c>
      <c r="C51" t="s">
        <v>334</v>
      </c>
      <c r="D51" t="s">
        <v>335</v>
      </c>
      <c r="E51" t="s">
        <v>336</v>
      </c>
      <c r="F51" t="s">
        <v>337</v>
      </c>
      <c r="G51" t="s">
        <v>410</v>
      </c>
      <c r="H51" t="s">
        <v>338</v>
      </c>
      <c r="I51" t="s">
        <v>339</v>
      </c>
    </row>
    <row r="52" spans="1:9" x14ac:dyDescent="0.2">
      <c r="A52">
        <v>51</v>
      </c>
      <c r="B52" t="s">
        <v>340</v>
      </c>
      <c r="C52" t="s">
        <v>341</v>
      </c>
      <c r="D52" t="s">
        <v>342</v>
      </c>
      <c r="E52" t="s">
        <v>343</v>
      </c>
      <c r="F52" t="s">
        <v>344</v>
      </c>
      <c r="G52" t="s">
        <v>410</v>
      </c>
      <c r="H52" t="s">
        <v>345</v>
      </c>
      <c r="I52" t="s">
        <v>346</v>
      </c>
    </row>
    <row r="53" spans="1:9" x14ac:dyDescent="0.2">
      <c r="A53">
        <v>52</v>
      </c>
      <c r="B53" t="s">
        <v>384</v>
      </c>
      <c r="C53" t="s">
        <v>347</v>
      </c>
      <c r="D53" t="s">
        <v>102</v>
      </c>
      <c r="E53" t="s">
        <v>114</v>
      </c>
      <c r="F53" t="s">
        <v>348</v>
      </c>
      <c r="G53" t="s">
        <v>129</v>
      </c>
      <c r="H53" t="s">
        <v>349</v>
      </c>
      <c r="I53" t="s">
        <v>350</v>
      </c>
    </row>
    <row r="54" spans="1:9" x14ac:dyDescent="0.2">
      <c r="A54">
        <v>53</v>
      </c>
      <c r="B54" t="s">
        <v>77</v>
      </c>
      <c r="C54" t="s">
        <v>351</v>
      </c>
      <c r="D54" t="s">
        <v>129</v>
      </c>
      <c r="E54" t="s">
        <v>352</v>
      </c>
      <c r="F54" t="s">
        <v>353</v>
      </c>
      <c r="G54" t="s">
        <v>129</v>
      </c>
      <c r="H54" t="s">
        <v>354</v>
      </c>
      <c r="I54" t="s">
        <v>355</v>
      </c>
    </row>
    <row r="55" spans="1:9" x14ac:dyDescent="0.2">
      <c r="A55">
        <v>54</v>
      </c>
      <c r="B55" t="s">
        <v>385</v>
      </c>
      <c r="C55" t="s">
        <v>356</v>
      </c>
      <c r="D55" t="s">
        <v>357</v>
      </c>
      <c r="E55" t="s">
        <v>325</v>
      </c>
      <c r="F55" t="s">
        <v>358</v>
      </c>
      <c r="G55" t="s">
        <v>369</v>
      </c>
      <c r="H55" t="s">
        <v>359</v>
      </c>
      <c r="I55" t="s">
        <v>360</v>
      </c>
    </row>
    <row r="56" spans="1:9" x14ac:dyDescent="0.2">
      <c r="A56">
        <v>55</v>
      </c>
      <c r="B56" t="s">
        <v>54</v>
      </c>
      <c r="C56" t="s">
        <v>361</v>
      </c>
      <c r="D56" t="s">
        <v>362</v>
      </c>
      <c r="E56" t="s">
        <v>363</v>
      </c>
      <c r="F56" t="s">
        <v>364</v>
      </c>
      <c r="G56" t="s">
        <v>369</v>
      </c>
      <c r="H56" t="s">
        <v>365</v>
      </c>
      <c r="I56" t="s">
        <v>366</v>
      </c>
    </row>
    <row r="57" spans="1:9" x14ac:dyDescent="0.2">
      <c r="A57">
        <v>56</v>
      </c>
      <c r="B57" t="s">
        <v>367</v>
      </c>
      <c r="C57" t="s">
        <v>368</v>
      </c>
      <c r="D57" t="s">
        <v>369</v>
      </c>
      <c r="E57" t="s">
        <v>370</v>
      </c>
      <c r="F57" t="s">
        <v>371</v>
      </c>
      <c r="G57" t="s">
        <v>369</v>
      </c>
      <c r="H57" t="s">
        <v>372</v>
      </c>
      <c r="I57" t="s">
        <v>373</v>
      </c>
    </row>
    <row r="58" spans="1:9" x14ac:dyDescent="0.2">
      <c r="A58">
        <v>57</v>
      </c>
      <c r="B58" t="s">
        <v>52</v>
      </c>
      <c r="C58" t="s">
        <v>380</v>
      </c>
      <c r="G58" t="s">
        <v>410</v>
      </c>
    </row>
    <row r="59" spans="1:9" x14ac:dyDescent="0.2">
      <c r="A59">
        <v>58</v>
      </c>
      <c r="B59" t="s">
        <v>381</v>
      </c>
      <c r="C59" t="s">
        <v>381</v>
      </c>
      <c r="G59" t="s">
        <v>411</v>
      </c>
    </row>
    <row r="60" spans="1:9" x14ac:dyDescent="0.2">
      <c r="A60">
        <v>59</v>
      </c>
      <c r="B60" t="s">
        <v>66</v>
      </c>
      <c r="C60" t="s">
        <v>383</v>
      </c>
      <c r="G60" t="s">
        <v>129</v>
      </c>
    </row>
    <row r="61" spans="1:9" x14ac:dyDescent="0.2">
      <c r="A61">
        <v>60</v>
      </c>
      <c r="B61" t="s">
        <v>404</v>
      </c>
      <c r="C61" t="s">
        <v>386</v>
      </c>
      <c r="G61" t="s">
        <v>407</v>
      </c>
    </row>
    <row r="62" spans="1:9" x14ac:dyDescent="0.2">
      <c r="A62">
        <v>61</v>
      </c>
      <c r="B62" t="s">
        <v>86</v>
      </c>
      <c r="C62" t="s">
        <v>387</v>
      </c>
      <c r="G62" t="s">
        <v>408</v>
      </c>
    </row>
    <row r="63" spans="1:9" x14ac:dyDescent="0.2">
      <c r="A63">
        <v>62</v>
      </c>
      <c r="B63" t="s">
        <v>93</v>
      </c>
      <c r="C63" t="s">
        <v>93</v>
      </c>
      <c r="G63" t="s">
        <v>412</v>
      </c>
    </row>
    <row r="64" spans="1:9" x14ac:dyDescent="0.2">
      <c r="A64">
        <v>63</v>
      </c>
      <c r="B64" t="s">
        <v>388</v>
      </c>
      <c r="C64" t="s">
        <v>388</v>
      </c>
      <c r="G64" t="s">
        <v>412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59" zoomScale="93" zoomScaleNormal="121" workbookViewId="0">
      <selection activeCell="B54" sqref="B5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15" t="s">
        <v>95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</row>
    <row r="2" spans="1:27" ht="22" customHeight="1" x14ac:dyDescent="0.2">
      <c r="A2" s="114" t="s">
        <v>0</v>
      </c>
      <c r="B2" s="116" t="s">
        <v>14</v>
      </c>
      <c r="C2" s="107" t="s">
        <v>46</v>
      </c>
      <c r="D2" s="108"/>
      <c r="E2" s="108"/>
      <c r="F2" s="109"/>
      <c r="G2" s="107" t="s">
        <v>40</v>
      </c>
      <c r="H2" s="108"/>
      <c r="I2" s="108"/>
      <c r="J2" s="109"/>
      <c r="K2" s="107" t="s">
        <v>47</v>
      </c>
      <c r="L2" s="108"/>
      <c r="M2" s="108"/>
      <c r="N2" s="109"/>
      <c r="O2" s="107" t="s">
        <v>39</v>
      </c>
      <c r="P2" s="108"/>
      <c r="Q2" s="108"/>
      <c r="R2" s="109"/>
      <c r="S2" s="107" t="s">
        <v>41</v>
      </c>
      <c r="T2" s="108"/>
      <c r="U2" s="108"/>
      <c r="V2" s="109"/>
      <c r="W2" s="107" t="s">
        <v>48</v>
      </c>
      <c r="X2" s="108"/>
      <c r="Y2" s="108"/>
      <c r="Z2" s="109"/>
      <c r="AA2" s="102" t="s">
        <v>34</v>
      </c>
    </row>
    <row r="3" spans="1:27" ht="22" customHeight="1" x14ac:dyDescent="0.2">
      <c r="A3" s="114"/>
      <c r="B3" s="116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102"/>
    </row>
    <row r="4" spans="1:27" ht="17" customHeight="1" x14ac:dyDescent="0.2">
      <c r="A4" s="110" t="s">
        <v>30</v>
      </c>
      <c r="B4" s="111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12" t="s">
        <v>31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21</v>
      </c>
    </row>
    <row r="28" spans="1:16358" ht="17" x14ac:dyDescent="0.2">
      <c r="A28" s="55" t="s">
        <v>10</v>
      </c>
      <c r="B28" s="53" t="str">
        <v>Freshofthezone</v>
      </c>
      <c r="C28" s="20" t="str">
        <v/>
      </c>
      <c r="D28" s="20">
        <v>8</v>
      </c>
      <c r="E28" s="20" t="str">
        <v/>
      </c>
      <c r="F28" s="47">
        <v>8</v>
      </c>
      <c r="G28" s="12" t="str">
        <v/>
      </c>
      <c r="H28" s="12">
        <v>10</v>
      </c>
      <c r="I28" s="12" t="str">
        <v/>
      </c>
      <c r="J28" s="47">
        <v>10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18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10" t="s">
        <v>49</v>
      </c>
      <c r="B34" s="111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12" t="s">
        <v>50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03" t="s">
        <v>42</v>
      </c>
      <c r="B66" s="104"/>
      <c r="C66" s="107" t="s">
        <v>46</v>
      </c>
      <c r="D66" s="108"/>
      <c r="E66" s="108"/>
      <c r="F66" s="109"/>
      <c r="G66" s="107" t="s">
        <v>40</v>
      </c>
      <c r="H66" s="108"/>
      <c r="I66" s="108"/>
      <c r="J66" s="109"/>
      <c r="K66" s="107" t="s">
        <v>47</v>
      </c>
      <c r="L66" s="108"/>
      <c r="M66" s="108"/>
      <c r="N66" s="109"/>
      <c r="O66" s="107" t="s">
        <v>39</v>
      </c>
      <c r="P66" s="108"/>
      <c r="Q66" s="108"/>
      <c r="R66" s="109"/>
      <c r="S66" s="107" t="s">
        <v>41</v>
      </c>
      <c r="T66" s="108"/>
      <c r="U66" s="108"/>
      <c r="V66" s="109"/>
      <c r="W66" s="107" t="s">
        <v>48</v>
      </c>
      <c r="X66" s="108"/>
      <c r="Y66" s="108"/>
      <c r="Z66" s="109"/>
      <c r="AA66" s="118" t="s">
        <v>34</v>
      </c>
    </row>
    <row r="67" spans="1:27" ht="27" x14ac:dyDescent="0.2">
      <c r="A67" s="105"/>
      <c r="B67" s="106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jet_morello</v>
      </c>
      <c r="C98" s="12" t="str">
        <v/>
      </c>
      <c r="D98" s="12">
        <v>12</v>
      </c>
      <c r="E98" s="12" t="str">
        <v/>
      </c>
      <c r="F98" s="47">
        <v>12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GTRC-ALERASATO74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>
        <v>5</v>
      </c>
      <c r="M99" s="12" t="str">
        <v/>
      </c>
      <c r="N99" s="47">
        <v>5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21</v>
      </c>
    </row>
    <row r="100" spans="1:27" ht="17" x14ac:dyDescent="0.25">
      <c r="A100" s="28">
        <v>33</v>
      </c>
      <c r="B100" s="29" t="str">
        <v>Talsigiano</v>
      </c>
      <c r="C100" s="12" t="str">
        <v/>
      </c>
      <c r="D100" s="12">
        <v>5</v>
      </c>
      <c r="E100" s="12" t="str">
        <v/>
      </c>
      <c r="F100" s="47">
        <v>5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8</v>
      </c>
      <c r="M100" s="12" t="str">
        <v/>
      </c>
      <c r="N100" s="47">
        <v>8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Dimaaa66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4</v>
      </c>
      <c r="I101" s="12" t="str">
        <v/>
      </c>
      <c r="J101" s="47">
        <v>4</v>
      </c>
      <c r="K101" s="12" t="str">
        <v/>
      </c>
      <c r="L101" s="12">
        <v>10</v>
      </c>
      <c r="M101" s="12" t="str">
        <v/>
      </c>
      <c r="N101" s="47">
        <v>10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20</v>
      </c>
    </row>
    <row r="102" spans="1:27" ht="17" x14ac:dyDescent="0.25">
      <c r="A102" s="28">
        <v>35</v>
      </c>
      <c r="B102" s="29" t="str">
        <v>Freshofthezone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10</v>
      </c>
      <c r="I102" s="12" t="str">
        <v/>
      </c>
      <c r="J102" s="47">
        <v>10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18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2" t="s">
        <v>378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</row>
    <row r="2" spans="1:29" ht="19" x14ac:dyDescent="0.25">
      <c r="A2" s="121" t="s">
        <v>413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</row>
    <row r="3" spans="1:29" ht="22" customHeight="1" x14ac:dyDescent="0.2">
      <c r="A3" s="114" t="s">
        <v>19</v>
      </c>
      <c r="B3" s="114" t="s">
        <v>14</v>
      </c>
      <c r="C3" s="123" t="s">
        <v>379</v>
      </c>
      <c r="D3" s="123" t="s">
        <v>15</v>
      </c>
      <c r="E3" s="107" t="s">
        <v>46</v>
      </c>
      <c r="F3" s="108"/>
      <c r="G3" s="108"/>
      <c r="H3" s="109"/>
      <c r="I3" s="107" t="s">
        <v>40</v>
      </c>
      <c r="J3" s="108"/>
      <c r="K3" s="108"/>
      <c r="L3" s="109"/>
      <c r="M3" s="107" t="s">
        <v>47</v>
      </c>
      <c r="N3" s="108"/>
      <c r="O3" s="108"/>
      <c r="P3" s="109"/>
      <c r="Q3" s="107" t="s">
        <v>39</v>
      </c>
      <c r="R3" s="108"/>
      <c r="S3" s="108"/>
      <c r="T3" s="109"/>
      <c r="U3" s="107" t="s">
        <v>41</v>
      </c>
      <c r="V3" s="108"/>
      <c r="W3" s="108"/>
      <c r="X3" s="109"/>
      <c r="Y3" s="107" t="s">
        <v>48</v>
      </c>
      <c r="Z3" s="108"/>
      <c r="AA3" s="108"/>
      <c r="AB3" s="109"/>
      <c r="AC3" s="102" t="s">
        <v>34</v>
      </c>
    </row>
    <row r="4" spans="1:29" ht="27" x14ac:dyDescent="0.2">
      <c r="A4" s="114"/>
      <c r="B4" s="114"/>
      <c r="C4" s="124"/>
      <c r="D4" s="124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102"/>
    </row>
    <row r="5" spans="1:29" ht="20" customHeight="1" x14ac:dyDescent="0.2">
      <c r="A5" s="110" t="s">
        <v>30</v>
      </c>
      <c r="B5" s="111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96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81</v>
      </c>
    </row>
    <row r="7" spans="1:29" ht="20" customHeight="1" x14ac:dyDescent="0.2">
      <c r="A7" s="86" t="s">
        <v>3</v>
      </c>
      <c r="B7" s="84" t="str">
        <f>'CLASSIFICA ORDINATA'!B6</f>
        <v>TLM_Kappa</v>
      </c>
      <c r="C7" s="84" t="str">
        <f>VLOOKUP(B7,nomi!B:C,2,FALSE)</f>
        <v>TLM_Kappa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96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96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96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96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48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96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43</v>
      </c>
    </row>
    <row r="9" spans="1:29" ht="20" customHeight="1" x14ac:dyDescent="0.2">
      <c r="A9" s="88" t="s">
        <v>5</v>
      </c>
      <c r="B9" s="84" t="str">
        <f>'CLASSIFICA ORDINATA'!B8</f>
        <v>Marco-super-gt</v>
      </c>
      <c r="C9" s="84" t="str">
        <f>VLOOKUP(B9,nomi!B:C,2,FALSE)</f>
        <v>M.Pirrello</v>
      </c>
      <c r="D9" s="84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96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96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96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96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42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96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42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34</v>
      </c>
    </row>
    <row r="12" spans="1:29" ht="20" customHeight="1" x14ac:dyDescent="0.2">
      <c r="A12" s="88" t="s">
        <v>8</v>
      </c>
      <c r="B12" s="84" t="str">
        <f>'CLASSIFICA ORDINATA'!B11</f>
        <v>TLM_Sicily22</v>
      </c>
      <c r="C12" s="84" t="str">
        <f>VLOOKUP(B12,nomi!B:C,2,FALSE)</f>
        <v>M.Di Bartolo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96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96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DCT-bazzo</v>
      </c>
      <c r="C13" s="84" t="str">
        <f>VLOOKUP(B13,nomi!B:C,2,FALSE)</f>
        <v>Mister Bazzo</v>
      </c>
      <c r="D13" s="84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96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96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96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96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22</v>
      </c>
    </row>
    <row r="14" spans="1:29" ht="20" customHeight="1" x14ac:dyDescent="0.2">
      <c r="A14" s="88" t="s">
        <v>10</v>
      </c>
      <c r="B14" s="84" t="str">
        <f>'CLASSIFICA ORDINATA'!B13</f>
        <v>GTRC-ALERASATO74</v>
      </c>
      <c r="C14" s="84" t="str">
        <f>VLOOKUP(B14,nomi!B:C,2,FALSE)</f>
        <v xml:space="preserve">Gtrc_AleRasato </v>
      </c>
      <c r="D14" s="84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96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96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96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96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21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15</v>
      </c>
    </row>
    <row r="17" spans="1:16360" ht="20" customHeight="1" x14ac:dyDescent="0.2">
      <c r="A17" s="88" t="s">
        <v>13</v>
      </c>
      <c r="B17" s="84" t="str">
        <f>'CLASSIFICA ORDINATA'!B16</f>
        <v>Stefanostefanof</v>
      </c>
      <c r="C17" s="84" t="str">
        <f>VLOOKUP(B17,nomi!B:C,2,FALSE)</f>
        <v>CSC_stefano</v>
      </c>
      <c r="D17" s="84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96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96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15</v>
      </c>
    </row>
    <row r="18" spans="1:16360" ht="20" customHeight="1" x14ac:dyDescent="0.2">
      <c r="A18" s="88" t="s">
        <v>20</v>
      </c>
      <c r="B18" s="84" t="str">
        <f>'CLASSIFICA ORDINATA'!B17</f>
        <v>TeoDaniricky2000</v>
      </c>
      <c r="C18" s="84" t="str">
        <f>VLOOKUP(B18,nomi!B:C,2,FALSE)</f>
        <v>TeoDaniricky2000</v>
      </c>
      <c r="D18" s="84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96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96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10</v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12" t="s">
        <v>31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96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71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96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67</v>
      </c>
    </row>
    <row r="23" spans="1:16360" ht="20" customHeight="1" x14ac:dyDescent="0.2">
      <c r="A23" s="87" t="s">
        <v>4</v>
      </c>
      <c r="B23" s="84" t="str">
        <f>'CLASSIFICA ORDINATA'!B22</f>
        <v>Buitre83GT</v>
      </c>
      <c r="C23" s="84" t="str">
        <f>VLOOKUP(B23,nomi!B:C,2,FALSE)</f>
        <v>TLM_Proietti</v>
      </c>
      <c r="D23" s="84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96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96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96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96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49</v>
      </c>
    </row>
    <row r="24" spans="1:16360" ht="20" customHeight="1" x14ac:dyDescent="0.2">
      <c r="A24" s="88" t="s">
        <v>5</v>
      </c>
      <c r="B24" s="84" t="str">
        <f>'CLASSIFICA ORDINATA'!B23</f>
        <v>CORNAZZAI73</v>
      </c>
      <c r="C24" s="84" t="str">
        <f>VLOOKUP(B24,nomi!B:C,2,FALSE)</f>
        <v>GTID_Cornazzai73</v>
      </c>
      <c r="D24" s="84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96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96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96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96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44</v>
      </c>
    </row>
    <row r="25" spans="1:16360" ht="20" customHeight="1" x14ac:dyDescent="0.2">
      <c r="A25" s="88" t="s">
        <v>6</v>
      </c>
      <c r="B25" s="84" t="str">
        <f>'CLASSIFICA ORDINATA'!B24</f>
        <v>GTRC_Frenkmik93</v>
      </c>
      <c r="C25" s="84" t="str">
        <f>VLOOKUP(B25,nomi!B:C,2,FALSE)</f>
        <v>GTRC_FrenkMik93</v>
      </c>
      <c r="D25" s="84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96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96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96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96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37</v>
      </c>
    </row>
    <row r="26" spans="1:16360" ht="20" customHeight="1" x14ac:dyDescent="0.2">
      <c r="A26" s="88" t="s">
        <v>7</v>
      </c>
      <c r="B26" s="84" t="str">
        <f>'CLASSIFICA ORDINATA'!B25</f>
        <v>Bobgre93</v>
      </c>
      <c r="C26" s="84" t="str">
        <f>VLOOKUP(B26,nomi!B:C,2,FALSE)</f>
        <v>TLM_BobGre93</v>
      </c>
      <c r="D26" s="84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96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96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96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96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36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96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34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21</v>
      </c>
    </row>
    <row r="29" spans="1:16360" ht="20" customHeight="1" x14ac:dyDescent="0.2">
      <c r="A29" s="88" t="s">
        <v>10</v>
      </c>
      <c r="B29" s="84" t="str">
        <f>'CLASSIFICA ORDINATA'!B28</f>
        <v>Freshofthezone</v>
      </c>
      <c r="C29" s="84" t="str">
        <f>VLOOKUP(B29,nomi!B:C,2,FALSE)</f>
        <v>Frescodizona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8</v>
      </c>
      <c r="G29" s="12" t="str">
        <f>'CLASSIFICA ORDINATA'!E28</f>
        <v/>
      </c>
      <c r="H29" s="96">
        <f>'CLASSIFICA ORDINATA'!F28</f>
        <v>8</v>
      </c>
      <c r="I29" s="12" t="str">
        <f>'CLASSIFICA ORDINATA'!G28</f>
        <v/>
      </c>
      <c r="J29" s="12">
        <f>'CLASSIFICA ORDINATA'!H28</f>
        <v>10</v>
      </c>
      <c r="K29" s="12" t="str">
        <f>'CLASSIFICA ORDINATA'!I28</f>
        <v/>
      </c>
      <c r="L29" s="96">
        <f>'CLASSIFICA ORDINATA'!J28</f>
        <v>10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18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96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18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96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11</v>
      </c>
    </row>
    <row r="32" spans="1:16360" ht="20" customHeight="1" x14ac:dyDescent="0.2">
      <c r="A32" s="88" t="s">
        <v>13</v>
      </c>
      <c r="B32" s="84" t="str">
        <f>'CLASSIFICA ORDINATA'!B31</f>
        <v>Blokkobubbles</v>
      </c>
      <c r="C32" s="84" t="str">
        <f>VLOOKUP(B32,nomi!B:C,2,FALSE)</f>
        <v>Blokko</v>
      </c>
      <c r="D32" s="84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96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96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96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96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11</v>
      </c>
    </row>
    <row r="33" spans="1:29" ht="20" customHeight="1" x14ac:dyDescent="0.2">
      <c r="A33" s="88" t="s">
        <v>20</v>
      </c>
      <c r="B33" s="84" t="str">
        <f>'CLASSIFICA ORDINATA'!B32</f>
        <v>TLM_Verce90</v>
      </c>
      <c r="C33" s="84" t="str">
        <f>VLOOKUP(B33,nomi!B:C,2,FALSE)</f>
        <v>Verce</v>
      </c>
      <c r="D33" s="84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96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96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96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10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10" t="s">
        <v>49</v>
      </c>
      <c r="B35" s="111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96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80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96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53</v>
      </c>
    </row>
    <row r="38" spans="1:29" ht="20" customHeight="1" x14ac:dyDescent="0.2">
      <c r="A38" s="87" t="s">
        <v>4</v>
      </c>
      <c r="B38" s="84" t="str">
        <f>'CLASSIFICA ORDINATA'!B37</f>
        <v>TheGuarny</v>
      </c>
      <c r="C38" s="84" t="str">
        <f>VLOOKUP(B38,nomi!B:C,2,FALSE)</f>
        <v>TLM_TheGuarny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96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96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96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96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48</v>
      </c>
    </row>
    <row r="39" spans="1:29" ht="20" customHeight="1" x14ac:dyDescent="0.2">
      <c r="A39" s="88" t="s">
        <v>5</v>
      </c>
      <c r="B39" s="84" t="str">
        <f>'CLASSIFICA ORDINATA'!B38</f>
        <v>TLM_wid83</v>
      </c>
      <c r="C39" s="84" t="str">
        <f>VLOOKUP(B39,nomi!B:C,2,FALSE)</f>
        <v>TLM_wid83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96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96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96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96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46</v>
      </c>
    </row>
    <row r="40" spans="1:29" ht="20" customHeight="1" x14ac:dyDescent="0.2">
      <c r="A40" s="88" t="s">
        <v>6</v>
      </c>
      <c r="B40" s="84" t="str">
        <f>'CLASSIFICA ORDINATA'!B39</f>
        <v>RMT_GEFF-21</v>
      </c>
      <c r="C40" s="84" t="str">
        <f>VLOOKUP(B40,nomi!B:C,2,FALSE)</f>
        <v>DIEGHITO BOSS</v>
      </c>
      <c r="D40" s="84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96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96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96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40</v>
      </c>
    </row>
    <row r="41" spans="1:29" ht="20" customHeight="1" x14ac:dyDescent="0.2">
      <c r="A41" s="88" t="s">
        <v>7</v>
      </c>
      <c r="B41" s="84" t="str">
        <f>'CLASSIFICA ORDINATA'!B40</f>
        <v>andvea_99</v>
      </c>
      <c r="C41" s="84" t="str">
        <f>VLOOKUP(B41,nomi!B:C,2,FALSE)</f>
        <v>TLM_andvea99</v>
      </c>
      <c r="D41" s="84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96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96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96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96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22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16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96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16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96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13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12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9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12" t="s">
        <v>50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96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96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48</v>
      </c>
    </row>
    <row r="53" spans="1:29" ht="20" customHeight="1" x14ac:dyDescent="0.2">
      <c r="A53" s="87" t="s">
        <v>4</v>
      </c>
      <c r="B53" s="84" t="str">
        <f>'CLASSIFICA ORDINATA'!B52</f>
        <v>X-Gianni-</v>
      </c>
      <c r="C53" s="84" t="str">
        <f>VLOOKUP(B53,nomi!B:C,2,FALSE)</f>
        <v>GTRC-X-Gianni-</v>
      </c>
      <c r="D53" s="84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96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96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96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96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44</v>
      </c>
    </row>
    <row r="54" spans="1:29" ht="20" customHeight="1" x14ac:dyDescent="0.2">
      <c r="A54" s="88" t="s">
        <v>5</v>
      </c>
      <c r="B54" s="84" t="str">
        <f>'CLASSIFICA ORDINATA'!B53</f>
        <v>Pennysss71</v>
      </c>
      <c r="C54" s="84" t="str">
        <f>VLOOKUP(B54,nomi!B:C,2,FALSE)</f>
        <v>D.Apicella</v>
      </c>
      <c r="D54" s="84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96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96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96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96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41</v>
      </c>
    </row>
    <row r="55" spans="1:29" ht="20" customHeight="1" x14ac:dyDescent="0.2">
      <c r="A55" s="88" t="s">
        <v>6</v>
      </c>
      <c r="B55" s="84" t="str">
        <f>'CLASSIFICA ORDINATA'!B54</f>
        <v>DRT-Mirkobenny85</v>
      </c>
      <c r="C55" s="84" t="str">
        <f>IFERROR(VLOOKUP(B55,nomi!B:C,2,FALSE),"")</f>
        <v>M.Bennardo</v>
      </c>
      <c r="D55" s="84" t="str">
        <f>IFERROR(VLOOKUP(B55,nomi!B:G,6,FALSE),"")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96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96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96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96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41</v>
      </c>
    </row>
    <row r="56" spans="1:29" ht="20" customHeight="1" x14ac:dyDescent="0.2">
      <c r="A56" s="88" t="s">
        <v>7</v>
      </c>
      <c r="B56" s="84" t="str">
        <f>'CLASSIFICA ORDINATA'!B55</f>
        <v>Silentium884</v>
      </c>
      <c r="C56" s="84" t="str">
        <f>VLOOKUP(B56,nomi!B:C,2,FALSE)</f>
        <v>TLM_Sile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96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96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96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96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34</v>
      </c>
    </row>
    <row r="57" spans="1:29" ht="20" customHeight="1" x14ac:dyDescent="0.2">
      <c r="A57" s="88" t="s">
        <v>8</v>
      </c>
      <c r="B57" s="84" t="str">
        <f>'CLASSIFICA ORDINATA'!B56</f>
        <v>Mikedb__91__</v>
      </c>
      <c r="C57" s="84" t="str">
        <f>VLOOKUP(B57,nomi!B:C,2,FALSE)</f>
        <v>TLM-Mike91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96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96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96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96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34</v>
      </c>
    </row>
    <row r="58" spans="1:29" ht="20" customHeight="1" x14ac:dyDescent="0.2">
      <c r="A58" s="88" t="s">
        <v>9</v>
      </c>
      <c r="B58" s="84" t="str">
        <f>'CLASSIFICA ORDINATA'!B57</f>
        <v>Tonyroto74</v>
      </c>
      <c r="C58" s="84" t="str">
        <f>VLOOKUP(B58,nomi!B:C,2,FALSE)</f>
        <v>Tonyroto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96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96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96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96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32</v>
      </c>
    </row>
    <row r="59" spans="1:29" ht="20" customHeight="1" x14ac:dyDescent="0.2">
      <c r="A59" s="88" t="s">
        <v>10</v>
      </c>
      <c r="B59" s="84" t="str">
        <f>'CLASSIFICA ORDINATA'!B58</f>
        <v>Dimaaa66</v>
      </c>
      <c r="C59" s="84" t="str">
        <f>VLOOKUP(B59,nomi!B:C,2,FALSE)</f>
        <v>Dimaaa66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96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96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96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96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20</v>
      </c>
    </row>
    <row r="60" spans="1:29" ht="20" customHeight="1" x14ac:dyDescent="0.2">
      <c r="A60" s="88" t="s">
        <v>11</v>
      </c>
      <c r="B60" s="84" t="str">
        <f>'CLASSIFICA ORDINATA'!B59</f>
        <v>Dani_CT1946</v>
      </c>
      <c r="C60" s="84" t="str">
        <f>VLOOKUP(B60,nomi!B:C,2,FALSE)</f>
        <v>Danict1946</v>
      </c>
      <c r="D60" s="84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96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96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96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Rikas78</v>
      </c>
      <c r="C61" s="84" t="str">
        <f>VLOOKUP(B61,nomi!B:C,2,FALSE)</f>
        <v>Rikas78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96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96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96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96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13</v>
      </c>
    </row>
    <row r="62" spans="1:29" ht="20" customHeight="1" x14ac:dyDescent="0.2">
      <c r="A62" s="88" t="s">
        <v>13</v>
      </c>
      <c r="B62" s="84" t="str">
        <f>'CLASSIFICA ORDINATA'!B61</f>
        <v>Costanzo-Mirko90</v>
      </c>
      <c r="C62" s="84" t="str">
        <f>VLOOKUP(B62,nomi!B:C,2,FALSE)</f>
        <v>GTRC M. Costanzo</v>
      </c>
      <c r="D62" s="84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96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96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96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11</v>
      </c>
    </row>
    <row r="63" spans="1:29" ht="20" customHeight="1" x14ac:dyDescent="0.2">
      <c r="A63" s="88" t="s">
        <v>20</v>
      </c>
      <c r="B63" s="84" t="str">
        <f>'CLASSIFICA ORDINATA'!B62</f>
        <v>recidivo92</v>
      </c>
      <c r="C63" s="84" t="str">
        <f>VLOOKUP(B63,nomi!B:C,2,FALSE)</f>
        <v>ReciDivo92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96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96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9</v>
      </c>
    </row>
    <row r="64" spans="1:29" ht="20" customHeight="1" x14ac:dyDescent="0.2">
      <c r="A64" s="88" t="s">
        <v>21</v>
      </c>
      <c r="B64" s="84" t="str">
        <f>'CLASSIFICA ORDINATA'!B63</f>
        <v>mettiukc</v>
      </c>
      <c r="C64" s="84" t="str">
        <f>VLOOKUP(B64,nomi!B:C,2,FALSE)</f>
        <v>mettiukc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96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96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8</v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03" t="s">
        <v>42</v>
      </c>
      <c r="B67" s="120"/>
      <c r="C67" s="104"/>
      <c r="D67" s="71"/>
      <c r="E67" s="107" t="s">
        <v>46</v>
      </c>
      <c r="F67" s="108"/>
      <c r="G67" s="108"/>
      <c r="H67" s="109"/>
      <c r="I67" s="107" t="s">
        <v>40</v>
      </c>
      <c r="J67" s="108"/>
      <c r="K67" s="108"/>
      <c r="L67" s="109"/>
      <c r="M67" s="107" t="s">
        <v>47</v>
      </c>
      <c r="N67" s="108"/>
      <c r="O67" s="108"/>
      <c r="P67" s="109"/>
      <c r="Q67" s="107" t="s">
        <v>39</v>
      </c>
      <c r="R67" s="108"/>
      <c r="S67" s="108"/>
      <c r="T67" s="109"/>
      <c r="U67" s="107" t="s">
        <v>41</v>
      </c>
      <c r="V67" s="108"/>
      <c r="W67" s="108"/>
      <c r="X67" s="109"/>
      <c r="Y67" s="107" t="s">
        <v>48</v>
      </c>
      <c r="Z67" s="108"/>
      <c r="AA67" s="108"/>
      <c r="AB67" s="109"/>
      <c r="AC67" s="118" t="s">
        <v>34</v>
      </c>
    </row>
    <row r="68" spans="1:29" ht="27" x14ac:dyDescent="0.2">
      <c r="A68" s="67" t="s">
        <v>19</v>
      </c>
      <c r="B68" s="67" t="s">
        <v>14</v>
      </c>
      <c r="C68" s="67" t="s">
        <v>379</v>
      </c>
      <c r="D68" s="67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19"/>
    </row>
    <row r="69" spans="1:29" ht="20" customHeight="1" x14ac:dyDescent="0.25">
      <c r="A69" s="89">
        <v>1</v>
      </c>
      <c r="B69" s="75" t="str">
        <f>'CLASSIFICA ORDINATA'!B68</f>
        <v>RMT-87-TOMMY</v>
      </c>
      <c r="C69" s="76" t="str">
        <f>VLOOKUP(B69,nomi!B:C,2,FALSE)</f>
        <v>RMT-87-TOMMY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96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96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81</v>
      </c>
    </row>
    <row r="70" spans="1:29" ht="20" customHeight="1" x14ac:dyDescent="0.25">
      <c r="A70" s="89">
        <v>2</v>
      </c>
      <c r="B70" s="75" t="str">
        <f>'CLASSIFICA ORDINATA'!B69</f>
        <v>Flavio-VR46</v>
      </c>
      <c r="C70" s="76" t="str">
        <f>VLOOKUP(B70,nomi!B:C,2,FALSE)</f>
        <v>RMT-Flavio-VR46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96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96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80</v>
      </c>
    </row>
    <row r="71" spans="1:29" ht="20" customHeight="1" x14ac:dyDescent="0.25">
      <c r="A71" s="89">
        <v>3</v>
      </c>
      <c r="B71" s="75" t="str">
        <f>'CLASSIFICA ORDINATA'!B70</f>
        <v>RMT _SILVERMAN-AC</v>
      </c>
      <c r="C71" s="76" t="str">
        <f>VLOOKUP(B71,nomi!B:C,2,FALSE)</f>
        <v>L.Silvestri</v>
      </c>
      <c r="D71" s="76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96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96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96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96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74</v>
      </c>
    </row>
    <row r="72" spans="1:29" ht="20" customHeight="1" x14ac:dyDescent="0.25">
      <c r="A72" s="89">
        <v>4</v>
      </c>
      <c r="B72" s="75" t="str">
        <f>'CLASSIFICA ORDINATA'!B71</f>
        <v>BAD_Brucem84</v>
      </c>
      <c r="C72" s="76" t="str">
        <f>VLOOKUP(B72,nomi!B:C,2,FALSE)</f>
        <v>BAD_brucem84</v>
      </c>
      <c r="D72" s="76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96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96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96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96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71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96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67</v>
      </c>
    </row>
    <row r="74" spans="1:29" ht="20" customHeight="1" x14ac:dyDescent="0.25">
      <c r="A74" s="89">
        <v>6</v>
      </c>
      <c r="B74" s="75" t="str">
        <f>'CLASSIFICA ORDINATA'!B73</f>
        <v>TLM_SKIZZO 34</v>
      </c>
      <c r="C74" s="76" t="str">
        <f>VLOOKUP(B74,nomi!B:C,2,FALSE)</f>
        <v>TLM_SKIIZZO 34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96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96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96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53</v>
      </c>
    </row>
    <row r="75" spans="1:29" ht="20" customHeight="1" x14ac:dyDescent="0.25">
      <c r="A75" s="89">
        <v>7</v>
      </c>
      <c r="B75" s="75" t="str">
        <f>'CLASSIFICA ORDINATA'!B74</f>
        <v>Buitre83GT</v>
      </c>
      <c r="C75" s="76" t="str">
        <f>VLOOKUP(B75,nomi!B:C,2,FALSE)</f>
        <v>TLM_Proietti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96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49</v>
      </c>
    </row>
    <row r="76" spans="1:29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96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48</v>
      </c>
    </row>
    <row r="77" spans="1:29" ht="20" customHeight="1" x14ac:dyDescent="0.25">
      <c r="A77" s="89">
        <v>9</v>
      </c>
      <c r="B77" s="75" t="str">
        <f>'CLASSIFICA ORDINATA'!B76</f>
        <v>TheGuarny</v>
      </c>
      <c r="C77" s="76" t="str">
        <f>VLOOKUP(B77,nomi!B:C,2,FALSE)</f>
        <v>TLM_TheGuarny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96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96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96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48</v>
      </c>
    </row>
    <row r="78" spans="1:29" ht="20" customHeight="1" x14ac:dyDescent="0.25">
      <c r="A78" s="89">
        <v>10</v>
      </c>
      <c r="B78" s="75" t="str">
        <f>'CLASSIFICA ORDINATA'!B77</f>
        <v>Parenji</v>
      </c>
      <c r="C78" s="76" t="str">
        <f>VLOOKUP(B78,nomi!B:C,2,FALSE)</f>
        <v>TLM_Parenti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96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96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96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48</v>
      </c>
    </row>
    <row r="79" spans="1:29" ht="20" customHeight="1" x14ac:dyDescent="0.25">
      <c r="A79" s="89">
        <v>11</v>
      </c>
      <c r="B79" s="75" t="str">
        <f>'CLASSIFICA ORDINATA'!B78</f>
        <v>TLM_wid83</v>
      </c>
      <c r="C79" s="76" t="str">
        <f>VLOOKUP(B79,nomi!B:C,2,FALSE)</f>
        <v>TLM_wid83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96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46</v>
      </c>
    </row>
    <row r="80" spans="1:29" ht="20" customHeight="1" x14ac:dyDescent="0.25">
      <c r="A80" s="89">
        <v>12</v>
      </c>
      <c r="B80" s="75" t="str">
        <f>'CLASSIFICA ORDINATA'!B79</f>
        <v>CORNAZZAI73</v>
      </c>
      <c r="C80" s="76" t="str">
        <f>VLOOKUP(B80,nomi!B:C,2,FALSE)</f>
        <v>GTID_Cornazzai73</v>
      </c>
      <c r="D80" s="76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96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96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96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44</v>
      </c>
    </row>
    <row r="81" spans="1:29" ht="20" customHeight="1" x14ac:dyDescent="0.25">
      <c r="A81" s="89">
        <v>13</v>
      </c>
      <c r="B81" s="75" t="str">
        <f>'CLASSIFICA ORDINATA'!B80</f>
        <v>X-Gianni-</v>
      </c>
      <c r="C81" s="76" t="str">
        <f>VLOOKUP(B81,nomi!B:C,2,FALSE)</f>
        <v>GTRC-X-Gianni-</v>
      </c>
      <c r="D81" s="76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96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96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96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96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44</v>
      </c>
    </row>
    <row r="82" spans="1:29" ht="20" customHeight="1" thickBot="1" x14ac:dyDescent="0.3">
      <c r="A82" s="90">
        <v>14</v>
      </c>
      <c r="B82" s="77" t="str">
        <f>'CLASSIFICA ORDINATA'!B81</f>
        <v>Rupetheking</v>
      </c>
      <c r="C82" s="78" t="str">
        <f>VLOOKUP(B82,nomi!B:C,2,FALSE)</f>
        <v xml:space="preserve">Tlm-rupetheking 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96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96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96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96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43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96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42</v>
      </c>
    </row>
    <row r="84" spans="1:29" ht="20" customHeight="1" x14ac:dyDescent="0.25">
      <c r="A84" s="92">
        <v>16</v>
      </c>
      <c r="B84" s="95" t="str">
        <f>'CLASSIFICA ORDINATA'!B83</f>
        <v>xRUA85x</v>
      </c>
      <c r="C84" s="84" t="str">
        <f>VLOOKUP(B84,nomi!B:C,2,FALSE)</f>
        <v>TLM_Le Rua’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96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96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96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42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96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41</v>
      </c>
    </row>
    <row r="86" spans="1:29" ht="20" customHeight="1" x14ac:dyDescent="0.25">
      <c r="A86" s="92">
        <v>18</v>
      </c>
      <c r="B86" s="95" t="str">
        <f>'CLASSIFICA ORDINATA'!B85</f>
        <v>DRT-Mirkobenny85</v>
      </c>
      <c r="C86" s="84" t="str">
        <f>VLOOKUP(B86,nomi!B:C,2,FALSE)</f>
        <v>M.Bennardo</v>
      </c>
      <c r="D86" s="84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96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96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96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96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41</v>
      </c>
    </row>
    <row r="87" spans="1:29" ht="20" customHeight="1" x14ac:dyDescent="0.25">
      <c r="A87" s="92">
        <v>19</v>
      </c>
      <c r="B87" s="95" t="str">
        <f>'CLASSIFICA ORDINATA'!B86</f>
        <v>RMT_GEFF-21</v>
      </c>
      <c r="C87" s="84" t="str">
        <f>VLOOKUP(B87,nomi!B:C,2,FALSE)</f>
        <v>DIEGHITO BOSS</v>
      </c>
      <c r="D87" s="84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96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96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96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40</v>
      </c>
    </row>
    <row r="88" spans="1:29" ht="20" customHeight="1" x14ac:dyDescent="0.25">
      <c r="A88" s="92">
        <v>20</v>
      </c>
      <c r="B88" s="95" t="str">
        <f>'CLASSIFICA ORDINATA'!B87</f>
        <v>andvea_99</v>
      </c>
      <c r="C88" s="84" t="str">
        <f>VLOOKUP(B88,nomi!B:C,2,FALSE)</f>
        <v>TLM_andvea99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96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96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96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40</v>
      </c>
    </row>
    <row r="89" spans="1:29" ht="20" customHeight="1" x14ac:dyDescent="0.25">
      <c r="A89" s="92">
        <v>21</v>
      </c>
      <c r="B89" s="95" t="str">
        <f>'CLASSIFICA ORDINATA'!B88</f>
        <v>GTRC_Frenkmik93</v>
      </c>
      <c r="C89" s="84" t="str">
        <f>VLOOKUP(B89,nomi!B:C,2,FALSE)</f>
        <v>GTRC_FrenkMik93</v>
      </c>
      <c r="D89" s="84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96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96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37</v>
      </c>
    </row>
    <row r="90" spans="1:29" ht="20" customHeight="1" x14ac:dyDescent="0.25">
      <c r="A90" s="92">
        <v>22</v>
      </c>
      <c r="B90" s="95" t="str">
        <f>'CLASSIFICA ORDINATA'!B89</f>
        <v>Bobgre93</v>
      </c>
      <c r="C90" s="84" t="str">
        <f>VLOOKUP(B90,nomi!B:C,2,FALSE)</f>
        <v>TLM_BobGre93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96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96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96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96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36</v>
      </c>
    </row>
    <row r="91" spans="1:29" ht="20" customHeight="1" x14ac:dyDescent="0.25">
      <c r="A91" s="92">
        <v>23</v>
      </c>
      <c r="B91" s="95" t="str">
        <f>'CLASSIFICA ORDINATA'!B90</f>
        <v>TLM_michaelfox12</v>
      </c>
      <c r="C91" s="84" t="str">
        <f>VLOOKUP(B91,nomi!B:C,2,FALSE)</f>
        <v>TLM_michaelfox12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96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96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96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96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34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96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34</v>
      </c>
    </row>
    <row r="93" spans="1:29" ht="20" customHeight="1" x14ac:dyDescent="0.25">
      <c r="A93" s="92">
        <v>25</v>
      </c>
      <c r="B93" s="95" t="str">
        <f>'CLASSIFICA ORDINATA'!B92</f>
        <v>Silentium884</v>
      </c>
      <c r="C93" s="84" t="str">
        <f>VLOOKUP(B93,nomi!B:C,2,FALSE)</f>
        <v>TLM_Sile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96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96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96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34</v>
      </c>
    </row>
    <row r="94" spans="1:29" ht="20" customHeight="1" x14ac:dyDescent="0.25">
      <c r="A94" s="92">
        <v>26</v>
      </c>
      <c r="B94" s="95" t="str">
        <f>'CLASSIFICA ORDINATA'!B93</f>
        <v>Mikedb__91__</v>
      </c>
      <c r="C94" s="84" t="str">
        <f>VLOOKUP(B94,nomi!B:C,2,FALSE)</f>
        <v>TLM-Mike91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96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96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96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34</v>
      </c>
    </row>
    <row r="95" spans="1:29" ht="20" customHeight="1" x14ac:dyDescent="0.25">
      <c r="A95" s="92">
        <v>27</v>
      </c>
      <c r="B95" s="95" t="str">
        <f>'CLASSIFICA ORDINATA'!B94</f>
        <v>Tonyroto74</v>
      </c>
      <c r="C95" s="84" t="str">
        <f>VLOOKUP(B95,nomi!B:C,2,FALSE)</f>
        <v>Tonyroto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96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96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32</v>
      </c>
    </row>
    <row r="96" spans="1:29" ht="20" customHeight="1" x14ac:dyDescent="0.25">
      <c r="A96" s="92">
        <v>28</v>
      </c>
      <c r="B96" s="95" t="str">
        <f>'CLASSIFICA ORDINATA'!B95</f>
        <v>TLM_Sicily22</v>
      </c>
      <c r="C96" s="84" t="str">
        <f>VLOOKUP(B96,nomi!B:C,2,FALSE)</f>
        <v>M.Di Bartolo</v>
      </c>
      <c r="D96" s="84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96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96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96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96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30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28</v>
      </c>
    </row>
    <row r="98" spans="1:29" ht="20" customHeight="1" x14ac:dyDescent="0.25">
      <c r="A98" s="92">
        <v>30</v>
      </c>
      <c r="B98" s="95" t="str">
        <f>'CLASSIFICA ORDINATA'!B97</f>
        <v>DCT-bazzo</v>
      </c>
      <c r="C98" s="84" t="str">
        <f>VLOOKUP(B98,nomi!B:C,2,FALSE)</f>
        <v>Mister Bazzo</v>
      </c>
      <c r="D98" s="84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96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96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22</v>
      </c>
    </row>
    <row r="99" spans="1:29" ht="20" customHeight="1" x14ac:dyDescent="0.25">
      <c r="A99" s="92">
        <v>31</v>
      </c>
      <c r="B99" s="95" t="str">
        <f>'CLASSIFICA ORDINATA'!B98</f>
        <v>jet_morello</v>
      </c>
      <c r="C99" s="84" t="str">
        <f>VLOOKUP(B99,nomi!B:C,2,FALSE)</f>
        <v>Iaia angelo</v>
      </c>
      <c r="D99" s="84" t="str">
        <f>VLOOKUP(B99,nomi!B:G,6,FALSE)</f>
        <v>TLM</v>
      </c>
      <c r="E99" s="12" t="str">
        <f>'CLASSIFICA ORDINATA'!C98</f>
        <v/>
      </c>
      <c r="F99" s="12">
        <f>'CLASSIFICA ORDINATA'!D98</f>
        <v>12</v>
      </c>
      <c r="G99" s="12" t="str">
        <f>'CLASSIFICA ORDINATA'!E98</f>
        <v/>
      </c>
      <c r="H99" s="96">
        <f>'CLASSIFICA ORDINATA'!F98</f>
        <v>12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96">
        <f>'CLASSIFICA ORDINATA'!J98</f>
        <v>10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96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22</v>
      </c>
    </row>
    <row r="100" spans="1:29" ht="20" customHeight="1" x14ac:dyDescent="0.25">
      <c r="A100" s="92">
        <v>32</v>
      </c>
      <c r="B100" s="95" t="str">
        <f>'CLASSIFICA ORDINATA'!B99</f>
        <v>GTRC-ALERASATO74</v>
      </c>
      <c r="C100" s="84" t="str">
        <f>VLOOKUP(B100,nomi!B:C,2,FALSE)</f>
        <v xml:space="preserve">Gtrc_AleRasato 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96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96">
        <f>'CLASSIFICA ORDINATA'!J99</f>
        <v>8</v>
      </c>
      <c r="M100" s="12" t="str">
        <f>'CLASSIFICA ORDINATA'!K99</f>
        <v/>
      </c>
      <c r="N100" s="12">
        <f>'CLASSIFICA ORDINATA'!L99</f>
        <v>5</v>
      </c>
      <c r="O100" s="12" t="str">
        <f>'CLASSIFICA ORDINATA'!M99</f>
        <v/>
      </c>
      <c r="P100" s="96">
        <f>'CLASSIFICA ORDINATA'!N99</f>
        <v>5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21</v>
      </c>
    </row>
    <row r="101" spans="1:29" ht="20" customHeight="1" x14ac:dyDescent="0.25">
      <c r="A101" s="92">
        <v>33</v>
      </c>
      <c r="B101" s="95" t="str">
        <f>'CLASSIFICA ORDINATA'!B100</f>
        <v>Talsigiano</v>
      </c>
      <c r="C101" s="84" t="str">
        <f>VLOOKUP(B101,nomi!B:C,2,FALSE)</f>
        <v xml:space="preserve">Talsigiano 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5</v>
      </c>
      <c r="G101" s="12" t="str">
        <f>'CLASSIFICA ORDINATA'!E100</f>
        <v/>
      </c>
      <c r="H101" s="96">
        <f>'CLASSIFICA ORDINATA'!F100</f>
        <v>5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>
        <f>'CLASSIFICA ORDINATA'!L100</f>
        <v>8</v>
      </c>
      <c r="O101" s="12" t="str">
        <f>'CLASSIFICA ORDINATA'!M100</f>
        <v/>
      </c>
      <c r="P101" s="96">
        <f>'CLASSIFICA ORDINATA'!N100</f>
        <v>8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96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21</v>
      </c>
    </row>
    <row r="102" spans="1:29" ht="20" customHeight="1" x14ac:dyDescent="0.25">
      <c r="A102" s="92">
        <v>34</v>
      </c>
      <c r="B102" s="95" t="str">
        <f>'CLASSIFICA ORDINATA'!B101</f>
        <v>Dimaaa66</v>
      </c>
      <c r="C102" s="84" t="str">
        <f>VLOOKUP(B102,nomi!B:C,2,FALSE)</f>
        <v>Dimaaa66</v>
      </c>
      <c r="D102" s="84" t="str">
        <f>VLOOKUP(B102,nomi!B:G,6,FALSE)</f>
        <v>TLM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4</v>
      </c>
      <c r="K102" s="12" t="str">
        <f>'CLASSIFICA ORDINATA'!I101</f>
        <v/>
      </c>
      <c r="L102" s="96">
        <f>'CLASSIFICA ORDINATA'!J101</f>
        <v>4</v>
      </c>
      <c r="M102" s="12" t="str">
        <f>'CLASSIFICA ORDINATA'!K101</f>
        <v/>
      </c>
      <c r="N102" s="12">
        <f>'CLASSIFICA ORDINATA'!L101</f>
        <v>10</v>
      </c>
      <c r="O102" s="12" t="str">
        <f>'CLASSIFICA ORDINATA'!M101</f>
        <v/>
      </c>
      <c r="P102" s="96">
        <f>'CLASSIFICA ORDINATA'!N101</f>
        <v>10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20</v>
      </c>
    </row>
    <row r="103" spans="1:29" ht="20" customHeight="1" x14ac:dyDescent="0.25">
      <c r="A103" s="92">
        <v>35</v>
      </c>
      <c r="B103" s="95" t="str">
        <f>'CLASSIFICA ORDINATA'!B102</f>
        <v>Freshofthezone</v>
      </c>
      <c r="C103" s="84" t="str">
        <f>VLOOKUP(B103,nomi!B:C,2,FALSE)</f>
        <v>Frescodizona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10</v>
      </c>
      <c r="K103" s="12" t="str">
        <f>'CLASSIFICA ORDINATA'!I102</f>
        <v/>
      </c>
      <c r="L103" s="96">
        <f>'CLASSIFICA ORDINATA'!J102</f>
        <v>10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96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18</v>
      </c>
    </row>
    <row r="104" spans="1:29" ht="20" customHeight="1" x14ac:dyDescent="0.25">
      <c r="A104" s="92">
        <v>36</v>
      </c>
      <c r="B104" s="95" t="str">
        <f>'CLASSIFICA ORDINATA'!B103</f>
        <v>jack-187-jack</v>
      </c>
      <c r="C104" s="84" t="str">
        <f>VLOOKUP(B104,nomi!B:C,2,FALSE)</f>
        <v>Jack187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96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96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96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18</v>
      </c>
    </row>
    <row r="105" spans="1:29" ht="20" customHeight="1" x14ac:dyDescent="0.25">
      <c r="A105" s="92">
        <v>37</v>
      </c>
      <c r="B105" s="95" t="str">
        <f>'CLASSIFICA ORDINATA'!B104</f>
        <v>Selpa974</v>
      </c>
      <c r="C105" s="84" t="str">
        <f>VLOOKUP(B105,nomi!B:C,2,FALSE)</f>
        <v>TLM_Selpa974_#88</v>
      </c>
      <c r="D105" s="84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96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16</v>
      </c>
    </row>
    <row r="106" spans="1:29" ht="20" customHeight="1" x14ac:dyDescent="0.25">
      <c r="A106" s="92">
        <v>38</v>
      </c>
      <c r="B106" s="95" t="str">
        <f>'CLASSIFICA ORDINATA'!B105</f>
        <v>Liotru1979</v>
      </c>
      <c r="C106" s="84" t="str">
        <f>VLOOKUP(B106,nomi!B:C,2,FALSE)</f>
        <v xml:space="preserve">TLM Max 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96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96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96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96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16</v>
      </c>
    </row>
    <row r="107" spans="1:29" ht="20" customHeight="1" x14ac:dyDescent="0.25">
      <c r="A107" s="92">
        <v>39</v>
      </c>
      <c r="B107" s="95" t="str">
        <f>'CLASSIFICA ORDINATA'!B106</f>
        <v>Cjcerbola</v>
      </c>
      <c r="C107" s="84" t="str">
        <f>VLOOKUP(B107,nomi!B:C,2,FALSE)</f>
        <v>Dct_Cjcerbola</v>
      </c>
      <c r="D107" s="84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96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96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96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96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16</v>
      </c>
    </row>
    <row r="108" spans="1:29" ht="20" customHeight="1" x14ac:dyDescent="0.25">
      <c r="A108" s="92">
        <v>40</v>
      </c>
      <c r="B108" s="95" t="str">
        <f>'CLASSIFICA ORDINATA'!B107</f>
        <v>Dani_CT1946</v>
      </c>
      <c r="C108" s="84" t="str">
        <f>VLOOKUP(B108,nomi!B:C,2,FALSE)</f>
        <v>Danict1946</v>
      </c>
      <c r="D108" s="84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96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96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96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16</v>
      </c>
    </row>
    <row r="109" spans="1:29" ht="20" customHeight="1" x14ac:dyDescent="0.25">
      <c r="A109" s="92">
        <v>41</v>
      </c>
      <c r="B109" s="95" t="str">
        <f>'CLASSIFICA ORDINATA'!B108</f>
        <v>Assemazz</v>
      </c>
      <c r="C109" s="84" t="str">
        <f>VLOOKUP(B109,nomi!B:C,2,FALSE)</f>
        <v>TLM_GAMMA</v>
      </c>
      <c r="D109" s="84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96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96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96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15</v>
      </c>
    </row>
    <row r="110" spans="1:29" ht="20" customHeight="1" x14ac:dyDescent="0.25">
      <c r="A110" s="92">
        <v>42</v>
      </c>
      <c r="B110" s="95" t="str">
        <f>'CLASSIFICA ORDINATA'!B109</f>
        <v>Stefanostefanof</v>
      </c>
      <c r="C110" s="84" t="str">
        <f>VLOOKUP(B110,nomi!B:C,2,FALSE)</f>
        <v>CSC_stefano</v>
      </c>
      <c r="D110" s="84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96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96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96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15</v>
      </c>
    </row>
    <row r="111" spans="1:29" ht="20" customHeight="1" x14ac:dyDescent="0.25">
      <c r="A111" s="92">
        <v>43</v>
      </c>
      <c r="B111" s="95" t="str">
        <f>'CLASSIFICA ORDINATA'!B110</f>
        <v>TLM_CaLiGoLa</v>
      </c>
      <c r="C111" s="84" t="str">
        <f>VLOOKUP(B111,nomi!B:C,2,FALSE)</f>
        <v>TLM_CaLiGoLa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96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96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13</v>
      </c>
    </row>
    <row r="112" spans="1:29" ht="20" customHeight="1" x14ac:dyDescent="0.25">
      <c r="A112" s="92">
        <v>44</v>
      </c>
      <c r="B112" s="95" t="str">
        <f>'CLASSIFICA ORDINATA'!B111</f>
        <v>Rikas78</v>
      </c>
      <c r="C112" s="84" t="str">
        <f>VLOOKUP(B112,nomi!B:C,2,FALSE)</f>
        <v>Rikas78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96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96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13</v>
      </c>
    </row>
    <row r="113" spans="1:29" ht="20" customHeight="1" x14ac:dyDescent="0.25">
      <c r="A113" s="92">
        <v>45</v>
      </c>
      <c r="B113" s="95" t="str">
        <f>'CLASSIFICA ORDINATA'!B112</f>
        <v>mirkozaffaron296</v>
      </c>
      <c r="C113" s="84" t="str">
        <f>VLOOKUP(B113,nomi!B:C,2,FALSE)</f>
        <v xml:space="preserve">GTRC-MIRKOZAFFA 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96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96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96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12</v>
      </c>
    </row>
    <row r="114" spans="1:29" ht="20" customHeight="1" x14ac:dyDescent="0.25">
      <c r="A114" s="92">
        <v>46</v>
      </c>
      <c r="B114" s="95" t="str">
        <f>'CLASSIFICA ORDINATA'!B113</f>
        <v>Mancinelli2002</v>
      </c>
      <c r="C114" s="84" t="str">
        <f>VLOOKUP(B114,nomi!B:C,2,FALSE)</f>
        <v>Gian</v>
      </c>
      <c r="D114" s="84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96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96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96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96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11</v>
      </c>
    </row>
    <row r="115" spans="1:29" ht="20" customHeight="1" x14ac:dyDescent="0.25">
      <c r="A115" s="92">
        <v>47</v>
      </c>
      <c r="B115" s="95" t="str">
        <f>'CLASSIFICA ORDINATA'!B114</f>
        <v>Blokkobubbles</v>
      </c>
      <c r="C115" s="84" t="str">
        <f>VLOOKUP(B115,nomi!B:C,2,FALSE)</f>
        <v>Blokko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96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96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11</v>
      </c>
    </row>
    <row r="116" spans="1:29" ht="20" customHeight="1" x14ac:dyDescent="0.25">
      <c r="A116" s="92">
        <v>48</v>
      </c>
      <c r="B116" s="95" t="str">
        <f>'CLASSIFICA ORDINATA'!B115</f>
        <v>Costanzo-Mirko90</v>
      </c>
      <c r="C116" s="84" t="str">
        <f>VLOOKUP(B116,nomi!B:C,2,FALSE)</f>
        <v>GTRC M. Costanzo</v>
      </c>
      <c r="D116" s="84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96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96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96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11</v>
      </c>
    </row>
    <row r="117" spans="1:29" ht="20" customHeight="1" x14ac:dyDescent="0.25">
      <c r="A117" s="92">
        <v>49</v>
      </c>
      <c r="B117" s="95" t="str">
        <f>'CLASSIFICA ORDINATA'!B116</f>
        <v>TeoDaniricky2000</v>
      </c>
      <c r="C117" s="84" t="str">
        <f>VLOOKUP(B117,nomi!B:C,2,FALSE)</f>
        <v>TeoDaniricky2000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96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96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10</v>
      </c>
    </row>
    <row r="118" spans="1:29" ht="20" customHeight="1" x14ac:dyDescent="0.25">
      <c r="A118" s="92">
        <v>50</v>
      </c>
      <c r="B118" s="95" t="str">
        <f>'CLASSIFICA ORDINATA'!B117</f>
        <v>TLM_Verce90</v>
      </c>
      <c r="C118" s="84" t="str">
        <f>VLOOKUP(B118,nomi!B:C,2,FALSE)</f>
        <v>Verce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96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96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10</v>
      </c>
    </row>
    <row r="119" spans="1:29" ht="20" customHeight="1" x14ac:dyDescent="0.25">
      <c r="A119" s="92">
        <v>51</v>
      </c>
      <c r="B119" s="95" t="str">
        <f>'CLASSIFICA ORDINATA'!B118</f>
        <v>Isnotacrime</v>
      </c>
      <c r="C119" s="84" t="str">
        <f>VLOOKUP(B119,nomi!B:C,2,FALSE)</f>
        <v xml:space="preserve">TLM isnotacrime </v>
      </c>
      <c r="D119" s="84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96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96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>
        <f>'CLASSIFICA ORDINATA'!AA118</f>
        <v>9</v>
      </c>
    </row>
    <row r="120" spans="1:29" ht="20" customHeight="1" x14ac:dyDescent="0.25">
      <c r="A120" s="92">
        <v>52</v>
      </c>
      <c r="B120" s="95" t="str">
        <f>'CLASSIFICA ORDINATA'!B119</f>
        <v>recidivo92</v>
      </c>
      <c r="C120" s="84" t="str">
        <f>VLOOKUP(B120,nomi!B:C,2,FALSE)</f>
        <v>ReciDivo92</v>
      </c>
      <c r="D120" s="84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96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96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>
        <f>'CLASSIFICA ORDINATA'!AA119</f>
        <v>9</v>
      </c>
    </row>
    <row r="121" spans="1:29" ht="20" customHeight="1" x14ac:dyDescent="0.25">
      <c r="A121" s="92">
        <v>53</v>
      </c>
      <c r="B121" s="95" t="str">
        <f>'CLASSIFICA ORDINATA'!B120</f>
        <v>mettiukc</v>
      </c>
      <c r="C121" s="84" t="str">
        <f>VLOOKUP(B121,nomi!B:C,2,FALSE)</f>
        <v>mettiukc</v>
      </c>
      <c r="D121" s="84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96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96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>
        <f>'CLASSIFICA ORDINATA'!AA120</f>
        <v>8</v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>Patanel86</v>
      </c>
      <c r="C124" s="84" t="str">
        <f>VLOOKUP(B124,nomi!B:C,2,FALSE)</f>
        <v>TLM_PataneL86</v>
      </c>
      <c r="D124" s="84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Y3:AB3"/>
    <mergeCell ref="AC3:AC4"/>
    <mergeCell ref="B3:B4"/>
    <mergeCell ref="E3:H3"/>
    <mergeCell ref="I3:L3"/>
    <mergeCell ref="M3:P3"/>
    <mergeCell ref="Q3:T3"/>
    <mergeCell ref="C3:C4"/>
    <mergeCell ref="D3:D4"/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tabSelected="1" zoomScale="99" workbookViewId="0">
      <selection activeCell="J17" sqref="J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25" t="e" vm="1">
        <v>#VALUE!</v>
      </c>
      <c r="B1" s="125"/>
      <c r="C1" s="125"/>
      <c r="D1" s="125"/>
      <c r="E1" s="125"/>
      <c r="F1" s="125"/>
      <c r="G1" s="125"/>
    </row>
    <row r="2" spans="1:7" ht="43" customHeight="1" x14ac:dyDescent="0.2">
      <c r="A2" s="126" t="s">
        <v>422</v>
      </c>
      <c r="B2" s="126"/>
      <c r="C2" s="126"/>
      <c r="D2" s="126"/>
      <c r="E2" s="126"/>
      <c r="F2" s="126"/>
      <c r="G2" s="126"/>
    </row>
    <row r="3" spans="1:7" ht="20" customHeight="1" x14ac:dyDescent="0.2">
      <c r="A3" s="128" t="s">
        <v>396</v>
      </c>
      <c r="B3" s="129"/>
      <c r="C3" s="130"/>
      <c r="D3" s="82"/>
      <c r="E3" s="128" t="s">
        <v>396</v>
      </c>
      <c r="F3" s="129"/>
      <c r="G3" s="130"/>
    </row>
    <row r="4" spans="1:7" ht="20" customHeight="1" x14ac:dyDescent="0.2">
      <c r="A4" s="83" t="s">
        <v>394</v>
      </c>
      <c r="B4" s="127" t="s">
        <v>58</v>
      </c>
      <c r="C4" s="127"/>
      <c r="D4" s="82"/>
      <c r="E4" s="83" t="s">
        <v>394</v>
      </c>
      <c r="F4" s="127" t="s">
        <v>72</v>
      </c>
      <c r="G4" s="127"/>
    </row>
    <row r="5" spans="1:7" ht="20" customHeight="1" x14ac:dyDescent="0.2">
      <c r="A5" s="135" t="s">
        <v>393</v>
      </c>
      <c r="B5" s="135"/>
      <c r="C5" s="135"/>
      <c r="D5" s="82"/>
      <c r="E5" s="133" t="s">
        <v>403</v>
      </c>
      <c r="F5" s="134"/>
      <c r="G5" s="134"/>
    </row>
    <row r="6" spans="1:7" ht="20" customHeight="1" x14ac:dyDescent="0.2">
      <c r="A6" s="81">
        <v>1</v>
      </c>
      <c r="B6" s="79" t="s">
        <v>61</v>
      </c>
      <c r="C6" s="79" t="s">
        <v>61</v>
      </c>
      <c r="D6" s="82"/>
      <c r="E6" s="81">
        <v>1</v>
      </c>
      <c r="F6" s="79" t="s">
        <v>72</v>
      </c>
      <c r="G6" s="79" t="s">
        <v>381</v>
      </c>
    </row>
    <row r="7" spans="1:7" ht="20" customHeight="1" x14ac:dyDescent="0.2">
      <c r="A7" s="81">
        <v>2</v>
      </c>
      <c r="B7" s="79" t="s">
        <v>32</v>
      </c>
      <c r="C7" s="79" t="s">
        <v>32</v>
      </c>
      <c r="D7" s="82"/>
      <c r="E7" s="81">
        <v>2</v>
      </c>
      <c r="F7" s="79" t="s">
        <v>68</v>
      </c>
      <c r="G7" s="79" t="s">
        <v>227</v>
      </c>
    </row>
    <row r="8" spans="1:7" ht="20" customHeight="1" x14ac:dyDescent="0.2">
      <c r="A8" s="81">
        <v>3</v>
      </c>
      <c r="B8" s="79" t="s">
        <v>54</v>
      </c>
      <c r="C8" s="79" t="s">
        <v>361</v>
      </c>
      <c r="D8" s="82"/>
      <c r="E8" s="81">
        <v>3</v>
      </c>
      <c r="F8" s="79" t="s">
        <v>70</v>
      </c>
      <c r="G8" s="79" t="s">
        <v>323</v>
      </c>
    </row>
    <row r="9" spans="1:7" ht="20" customHeight="1" x14ac:dyDescent="0.2">
      <c r="A9" s="81">
        <v>4</v>
      </c>
      <c r="B9" s="79" t="s">
        <v>60</v>
      </c>
      <c r="C9" s="79" t="s">
        <v>113</v>
      </c>
      <c r="D9" s="82"/>
      <c r="E9" s="81">
        <v>4</v>
      </c>
      <c r="F9" s="79" t="s">
        <v>367</v>
      </c>
      <c r="G9" s="79" t="s">
        <v>368</v>
      </c>
    </row>
    <row r="10" spans="1:7" ht="20" customHeight="1" x14ac:dyDescent="0.2">
      <c r="A10" s="81">
        <v>5</v>
      </c>
      <c r="B10" s="79" t="s">
        <v>56</v>
      </c>
      <c r="C10" s="79" t="s">
        <v>107</v>
      </c>
      <c r="D10" s="82"/>
      <c r="E10" s="81">
        <v>5</v>
      </c>
      <c r="F10" s="79" t="s">
        <v>71</v>
      </c>
      <c r="G10" s="79" t="s">
        <v>401</v>
      </c>
    </row>
    <row r="11" spans="1:7" ht="20" customHeight="1" x14ac:dyDescent="0.2">
      <c r="A11" s="81">
        <v>6</v>
      </c>
      <c r="B11" s="79" t="s">
        <v>57</v>
      </c>
      <c r="C11" s="79" t="s">
        <v>297</v>
      </c>
      <c r="D11" s="82"/>
      <c r="E11" s="81">
        <v>6</v>
      </c>
      <c r="F11" s="79" t="s">
        <v>382</v>
      </c>
      <c r="G11" s="79" t="s">
        <v>293</v>
      </c>
    </row>
    <row r="12" spans="1:7" ht="20" customHeight="1" x14ac:dyDescent="0.2">
      <c r="A12" s="81">
        <v>7</v>
      </c>
      <c r="B12" s="80" t="s">
        <v>63</v>
      </c>
      <c r="C12" s="79" t="s">
        <v>153</v>
      </c>
      <c r="D12" s="82"/>
      <c r="E12" s="81">
        <v>7</v>
      </c>
      <c r="F12" s="79" t="s">
        <v>64</v>
      </c>
      <c r="G12" s="79" t="s">
        <v>64</v>
      </c>
    </row>
    <row r="13" spans="1:7" ht="20" customHeight="1" x14ac:dyDescent="0.2">
      <c r="A13" s="81">
        <v>8</v>
      </c>
      <c r="B13" s="79" t="s">
        <v>62</v>
      </c>
      <c r="C13" s="79" t="s">
        <v>62</v>
      </c>
      <c r="D13" s="82"/>
      <c r="E13" s="81">
        <v>8</v>
      </c>
      <c r="F13" s="80" t="s">
        <v>69</v>
      </c>
      <c r="G13" s="79" t="s">
        <v>278</v>
      </c>
    </row>
    <row r="14" spans="1:7" ht="20" customHeight="1" x14ac:dyDescent="0.2">
      <c r="A14" s="81">
        <v>9</v>
      </c>
      <c r="B14" s="79" t="s">
        <v>51</v>
      </c>
      <c r="C14" s="79" t="s">
        <v>197</v>
      </c>
      <c r="D14" s="82"/>
      <c r="E14" s="81">
        <v>9</v>
      </c>
      <c r="F14" s="79" t="s">
        <v>90</v>
      </c>
      <c r="G14" s="79" t="s">
        <v>307</v>
      </c>
    </row>
    <row r="15" spans="1:7" ht="20" customHeight="1" x14ac:dyDescent="0.2">
      <c r="A15" s="81">
        <v>10</v>
      </c>
      <c r="B15" s="79" t="s">
        <v>59</v>
      </c>
      <c r="C15" s="79" t="s">
        <v>59</v>
      </c>
      <c r="D15" s="82"/>
      <c r="E15" s="81">
        <v>10</v>
      </c>
      <c r="F15" s="79" t="s">
        <v>38</v>
      </c>
      <c r="G15" s="79" t="s">
        <v>270</v>
      </c>
    </row>
    <row r="16" spans="1:7" ht="20" customHeight="1" x14ac:dyDescent="0.2">
      <c r="A16" s="81">
        <v>11</v>
      </c>
      <c r="B16" s="79" t="s">
        <v>58</v>
      </c>
      <c r="C16" s="79" t="s">
        <v>184</v>
      </c>
      <c r="D16" s="82"/>
      <c r="E16" s="81">
        <v>11</v>
      </c>
      <c r="F16" s="79" t="s">
        <v>73</v>
      </c>
      <c r="G16" s="79" t="s">
        <v>311</v>
      </c>
    </row>
    <row r="17" spans="1:7" ht="20" customHeight="1" x14ac:dyDescent="0.2">
      <c r="A17" s="81">
        <v>12</v>
      </c>
      <c r="B17" s="79" t="s">
        <v>53</v>
      </c>
      <c r="C17" s="79" t="s">
        <v>159</v>
      </c>
      <c r="D17" s="82"/>
      <c r="E17" s="81">
        <v>12</v>
      </c>
      <c r="F17" s="79" t="s">
        <v>66</v>
      </c>
      <c r="G17" s="79" t="s">
        <v>383</v>
      </c>
    </row>
    <row r="18" spans="1:7" ht="20" customHeight="1" x14ac:dyDescent="0.2">
      <c r="A18" s="81">
        <v>13</v>
      </c>
      <c r="B18" s="79" t="s">
        <v>78</v>
      </c>
      <c r="C18" s="79" t="s">
        <v>423</v>
      </c>
      <c r="D18" s="82"/>
      <c r="E18" s="81">
        <v>13</v>
      </c>
      <c r="F18" s="79" t="s">
        <v>65</v>
      </c>
      <c r="G18" s="79" t="s">
        <v>283</v>
      </c>
    </row>
    <row r="19" spans="1:7" ht="20" customHeight="1" x14ac:dyDescent="0.2">
      <c r="A19" s="81">
        <v>14</v>
      </c>
      <c r="B19" s="79" t="s">
        <v>43</v>
      </c>
      <c r="C19" s="79" t="s">
        <v>134</v>
      </c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27" t="s">
        <v>397</v>
      </c>
      <c r="B21" s="127"/>
      <c r="C21" s="127" t="s">
        <v>398</v>
      </c>
      <c r="D21" s="127"/>
      <c r="E21" s="127"/>
      <c r="F21" s="127"/>
      <c r="G21" s="127"/>
    </row>
    <row r="22" spans="1:7" ht="20" customHeight="1" x14ac:dyDescent="0.2">
      <c r="A22" s="127" t="s">
        <v>400</v>
      </c>
      <c r="B22" s="127"/>
      <c r="C22" s="127" t="s">
        <v>399</v>
      </c>
      <c r="D22" s="127"/>
      <c r="E22" s="127"/>
      <c r="F22" s="127"/>
      <c r="G22" s="127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28" t="s">
        <v>395</v>
      </c>
      <c r="B24" s="129"/>
      <c r="C24" s="130"/>
      <c r="D24" s="82"/>
      <c r="E24" s="128" t="s">
        <v>396</v>
      </c>
      <c r="F24" s="129"/>
      <c r="G24" s="130"/>
    </row>
    <row r="25" spans="1:7" ht="20" customHeight="1" x14ac:dyDescent="0.2">
      <c r="A25" s="83" t="s">
        <v>394</v>
      </c>
      <c r="B25" s="127" t="s">
        <v>81</v>
      </c>
      <c r="C25" s="127"/>
      <c r="D25" s="82"/>
      <c r="E25" s="83" t="s">
        <v>394</v>
      </c>
      <c r="F25" s="127" t="s">
        <v>84</v>
      </c>
      <c r="G25" s="127"/>
    </row>
    <row r="26" spans="1:7" ht="20" customHeight="1" x14ac:dyDescent="0.2">
      <c r="A26" s="131" t="s">
        <v>392</v>
      </c>
      <c r="B26" s="132"/>
      <c r="C26" s="132"/>
      <c r="D26" s="82"/>
      <c r="E26" s="131" t="s">
        <v>402</v>
      </c>
      <c r="F26" s="132"/>
      <c r="G26" s="132"/>
    </row>
    <row r="27" spans="1:7" ht="20" customHeight="1" x14ac:dyDescent="0.2">
      <c r="A27" s="81">
        <v>1</v>
      </c>
      <c r="B27" s="79" t="s">
        <v>80</v>
      </c>
      <c r="C27" s="79" t="s">
        <v>257</v>
      </c>
      <c r="D27" s="82"/>
      <c r="E27" s="81">
        <v>1</v>
      </c>
      <c r="F27" s="79" t="s">
        <v>86</v>
      </c>
      <c r="G27" s="79" t="s">
        <v>387</v>
      </c>
    </row>
    <row r="28" spans="1:7" ht="20" customHeight="1" x14ac:dyDescent="0.2">
      <c r="A28" s="81">
        <v>2</v>
      </c>
      <c r="B28" s="79" t="s">
        <v>81</v>
      </c>
      <c r="C28" s="79" t="s">
        <v>81</v>
      </c>
      <c r="D28" s="82"/>
      <c r="E28" s="81">
        <v>2</v>
      </c>
      <c r="F28" s="79" t="s">
        <v>88</v>
      </c>
      <c r="G28" s="79" t="s">
        <v>236</v>
      </c>
    </row>
    <row r="29" spans="1:7" ht="20" customHeight="1" x14ac:dyDescent="0.2">
      <c r="A29" s="81">
        <v>3</v>
      </c>
      <c r="B29" s="79" t="s">
        <v>74</v>
      </c>
      <c r="C29" s="79" t="s">
        <v>164</v>
      </c>
      <c r="D29" s="82"/>
      <c r="E29" s="81">
        <v>3</v>
      </c>
      <c r="F29" s="79" t="s">
        <v>138</v>
      </c>
      <c r="G29" s="79" t="s">
        <v>139</v>
      </c>
    </row>
    <row r="30" spans="1:7" ht="20" customHeight="1" x14ac:dyDescent="0.2">
      <c r="A30" s="81">
        <v>4</v>
      </c>
      <c r="B30" s="79" t="s">
        <v>79</v>
      </c>
      <c r="C30" s="79" t="s">
        <v>241</v>
      </c>
      <c r="D30" s="82"/>
      <c r="E30" s="81">
        <v>4</v>
      </c>
      <c r="F30" s="79" t="s">
        <v>84</v>
      </c>
      <c r="G30" s="79" t="s">
        <v>390</v>
      </c>
    </row>
    <row r="31" spans="1:7" ht="20" customHeight="1" x14ac:dyDescent="0.2">
      <c r="A31" s="81">
        <v>5</v>
      </c>
      <c r="B31" s="79" t="s">
        <v>82</v>
      </c>
      <c r="C31" s="79" t="s">
        <v>202</v>
      </c>
      <c r="D31" s="82"/>
      <c r="E31" s="81">
        <v>5</v>
      </c>
      <c r="F31" s="79" t="s">
        <v>169</v>
      </c>
      <c r="G31" s="79" t="s">
        <v>170</v>
      </c>
    </row>
    <row r="32" spans="1:7" ht="20" customHeight="1" x14ac:dyDescent="0.2">
      <c r="A32" s="81">
        <v>6</v>
      </c>
      <c r="B32" s="79" t="s">
        <v>76</v>
      </c>
      <c r="C32" s="79" t="s">
        <v>221</v>
      </c>
      <c r="D32" s="82"/>
      <c r="E32" s="81">
        <v>6</v>
      </c>
      <c r="F32" s="79" t="s">
        <v>92</v>
      </c>
      <c r="G32" s="79" t="s">
        <v>37</v>
      </c>
    </row>
    <row r="33" spans="1:7" ht="20" customHeight="1" x14ac:dyDescent="0.2">
      <c r="A33" s="81">
        <v>7</v>
      </c>
      <c r="B33" s="80" t="s">
        <v>75</v>
      </c>
      <c r="C33" s="79" t="s">
        <v>206</v>
      </c>
      <c r="D33" s="82"/>
      <c r="E33" s="81">
        <v>7</v>
      </c>
      <c r="F33" s="80" t="s">
        <v>91</v>
      </c>
      <c r="G33" s="79" t="s">
        <v>329</v>
      </c>
    </row>
    <row r="34" spans="1:7" ht="20" customHeight="1" x14ac:dyDescent="0.2">
      <c r="A34" s="81">
        <v>8</v>
      </c>
      <c r="B34" s="79" t="s">
        <v>340</v>
      </c>
      <c r="C34" s="79" t="s">
        <v>341</v>
      </c>
      <c r="D34" s="82"/>
      <c r="E34" s="81">
        <v>8</v>
      </c>
      <c r="F34" s="79" t="s">
        <v>89</v>
      </c>
      <c r="G34" s="79" t="s">
        <v>89</v>
      </c>
    </row>
    <row r="35" spans="1:7" ht="20" customHeight="1" x14ac:dyDescent="0.2">
      <c r="A35" s="81">
        <v>9</v>
      </c>
      <c r="B35" s="79" t="s">
        <v>36</v>
      </c>
      <c r="C35" s="79" t="s">
        <v>36</v>
      </c>
      <c r="D35" s="82"/>
      <c r="E35" s="81">
        <v>9</v>
      </c>
      <c r="F35" s="79" t="s">
        <v>93</v>
      </c>
      <c r="G35" s="79" t="s">
        <v>93</v>
      </c>
    </row>
    <row r="36" spans="1:7" ht="20" customHeight="1" x14ac:dyDescent="0.2">
      <c r="A36" s="81">
        <v>10</v>
      </c>
      <c r="B36" s="79" t="s">
        <v>302</v>
      </c>
      <c r="C36" s="79" t="s">
        <v>303</v>
      </c>
      <c r="D36" s="82"/>
      <c r="E36" s="81">
        <v>10</v>
      </c>
      <c r="F36" s="79" t="s">
        <v>87</v>
      </c>
      <c r="G36" s="79" t="s">
        <v>315</v>
      </c>
    </row>
    <row r="37" spans="1:7" ht="20" customHeight="1" x14ac:dyDescent="0.2">
      <c r="A37" s="81">
        <v>11</v>
      </c>
      <c r="B37" s="79" t="s">
        <v>77</v>
      </c>
      <c r="C37" s="79" t="s">
        <v>351</v>
      </c>
      <c r="D37" s="82"/>
      <c r="E37" s="81">
        <v>11</v>
      </c>
      <c r="F37" s="79" t="s">
        <v>388</v>
      </c>
      <c r="G37" s="79" t="s">
        <v>388</v>
      </c>
    </row>
    <row r="38" spans="1:7" ht="20" customHeight="1" x14ac:dyDescent="0.2">
      <c r="A38" s="81">
        <v>12</v>
      </c>
      <c r="B38" s="79" t="s">
        <v>83</v>
      </c>
      <c r="C38" s="79" t="s">
        <v>118</v>
      </c>
      <c r="D38" s="82"/>
      <c r="E38" s="81">
        <v>12</v>
      </c>
      <c r="F38" s="79" t="s">
        <v>33</v>
      </c>
      <c r="G38" s="79" t="s">
        <v>33</v>
      </c>
    </row>
    <row r="39" spans="1:7" ht="20" customHeight="1" x14ac:dyDescent="0.2">
      <c r="A39" s="81">
        <v>13</v>
      </c>
      <c r="B39" s="79"/>
      <c r="C39" s="79"/>
      <c r="D39" s="82"/>
      <c r="E39" s="81">
        <v>13</v>
      </c>
      <c r="F39" s="79" t="s">
        <v>85</v>
      </c>
      <c r="G39" s="79" t="s">
        <v>288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/>
      <c r="G40" s="79"/>
    </row>
  </sheetData>
  <mergeCells count="18"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K29" sqref="K29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378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415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414</v>
      </c>
    </row>
    <row r="4" spans="1:7" ht="41" customHeight="1" x14ac:dyDescent="0.2">
      <c r="A4" s="65" t="s">
        <v>25</v>
      </c>
      <c r="B4" s="65" t="s">
        <v>376</v>
      </c>
      <c r="C4" s="65" t="s">
        <v>22</v>
      </c>
      <c r="D4" s="65" t="s">
        <v>377</v>
      </c>
      <c r="E4" s="65" t="s">
        <v>23</v>
      </c>
      <c r="F4" s="65" t="s">
        <v>375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52</v>
      </c>
      <c r="D5" s="68" t="str">
        <f>VLOOKUP(C5,nomi!B:C,2,FALSE)</f>
        <v>Mister Bazzo</v>
      </c>
      <c r="E5" s="66" t="s">
        <v>374</v>
      </c>
      <c r="F5" s="66">
        <v>1</v>
      </c>
      <c r="G5" s="69" t="s">
        <v>419</v>
      </c>
    </row>
    <row r="6" spans="1:7" s="56" customFormat="1" ht="36" x14ac:dyDescent="0.2">
      <c r="A6" s="98">
        <v>2</v>
      </c>
      <c r="B6" s="100">
        <v>1</v>
      </c>
      <c r="C6" s="68" t="s">
        <v>57</v>
      </c>
      <c r="D6" s="68" t="str">
        <f>VLOOKUP(C6,nomi!B:C,2,FALSE)</f>
        <v>CSC_stefano</v>
      </c>
      <c r="E6" s="66" t="s">
        <v>417</v>
      </c>
      <c r="F6" s="66" t="s">
        <v>418</v>
      </c>
      <c r="G6" s="69" t="s">
        <v>420</v>
      </c>
    </row>
    <row r="7" spans="1:7" s="56" customFormat="1" ht="27" customHeight="1" x14ac:dyDescent="0.2">
      <c r="A7" s="98">
        <v>3</v>
      </c>
      <c r="B7" s="98">
        <v>2</v>
      </c>
      <c r="C7" s="69" t="s">
        <v>416</v>
      </c>
      <c r="D7" s="68" t="str">
        <f>VLOOKUP(C7,nomi!B:C,2,FALSE)</f>
        <v>Frescodizona</v>
      </c>
      <c r="E7" s="66" t="s">
        <v>374</v>
      </c>
      <c r="F7" s="66">
        <v>0</v>
      </c>
      <c r="G7" s="69" t="s">
        <v>421</v>
      </c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 t="s">
        <v>27</v>
      </c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 t="s">
        <v>27</v>
      </c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 t="s">
        <v>27</v>
      </c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 t="s">
        <v>27</v>
      </c>
      <c r="F12" s="66"/>
      <c r="G12" s="69"/>
    </row>
    <row r="13" spans="1:7" ht="51" customHeight="1" x14ac:dyDescent="0.2">
      <c r="A13" s="138" t="s">
        <v>391</v>
      </c>
      <c r="B13" s="138"/>
      <c r="C13" s="139"/>
      <c r="D13" s="139"/>
      <c r="E13" s="139"/>
      <c r="F13" s="139"/>
      <c r="G13" s="139"/>
    </row>
    <row r="14" spans="1:7" x14ac:dyDescent="0.2">
      <c r="A14" s="15"/>
      <c r="B14" s="15"/>
      <c r="C14" s="15"/>
      <c r="D14" s="15"/>
      <c r="E14" s="15"/>
      <c r="F14" s="15"/>
      <c r="G14" s="15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2024-06-23T21:57:02Z</cp:lastPrinted>
  <dcterms:created xsi:type="dcterms:W3CDTF">2023-09-05T10:19:23Z</dcterms:created>
  <dcterms:modified xsi:type="dcterms:W3CDTF">2024-06-23T22:17:46Z</dcterms:modified>
</cp:coreProperties>
</file>