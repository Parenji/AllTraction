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9AD8EC2D-10F2-7847-AE5C-90AB864D3E77}" xr6:coauthVersionLast="47" xr6:coauthVersionMax="47" xr10:uidLastSave="{00000000-0000-0000-0000-000000000000}"/>
  <bookViews>
    <workbookView xWindow="0" yWindow="0" windowWidth="28800" windowHeight="18000" activeTab="2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8" i="1" l="1"/>
  <c r="Z58" i="1"/>
  <c r="V58" i="1"/>
  <c r="R58" i="1"/>
  <c r="N58" i="1"/>
  <c r="N118" i="1" s="1"/>
  <c r="J58" i="1"/>
  <c r="J118" i="1" s="1"/>
  <c r="F58" i="1"/>
  <c r="AA29" i="1"/>
  <c r="Z29" i="1"/>
  <c r="V29" i="1"/>
  <c r="R29" i="1"/>
  <c r="R91" i="1" s="1"/>
  <c r="N29" i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6" i="2"/>
  <c r="D7" i="2"/>
  <c r="D5" i="2"/>
  <c r="C111" i="1"/>
  <c r="D111" i="1"/>
  <c r="E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C113" i="1"/>
  <c r="D113" i="1"/>
  <c r="E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C114" i="1"/>
  <c r="D114" i="1"/>
  <c r="E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C115" i="1"/>
  <c r="D115" i="1"/>
  <c r="E115" i="1"/>
  <c r="F115" i="1"/>
  <c r="G115" i="1"/>
  <c r="H115" i="1"/>
  <c r="I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C116" i="1"/>
  <c r="D116" i="1"/>
  <c r="E116" i="1"/>
  <c r="G116" i="1"/>
  <c r="H116" i="1"/>
  <c r="I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C117" i="1"/>
  <c r="D117" i="1"/>
  <c r="E117" i="1"/>
  <c r="G117" i="1"/>
  <c r="H117" i="1"/>
  <c r="I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C119" i="1"/>
  <c r="D119" i="1"/>
  <c r="E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C120" i="1"/>
  <c r="D120" i="1"/>
  <c r="E120" i="1"/>
  <c r="G120" i="1"/>
  <c r="H120" i="1"/>
  <c r="I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C121" i="1"/>
  <c r="D121" i="1"/>
  <c r="E121" i="1"/>
  <c r="G121" i="1"/>
  <c r="H121" i="1"/>
  <c r="I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C122" i="1"/>
  <c r="D122" i="1"/>
  <c r="E122" i="1"/>
  <c r="F122" i="1"/>
  <c r="G122" i="1"/>
  <c r="H122" i="1"/>
  <c r="I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C123" i="1"/>
  <c r="D123" i="1"/>
  <c r="E123" i="1"/>
  <c r="G123" i="1"/>
  <c r="H123" i="1"/>
  <c r="I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G110" i="1"/>
  <c r="H110" i="1"/>
  <c r="I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C110" i="1"/>
  <c r="D110" i="1"/>
  <c r="E110" i="1"/>
  <c r="F110" i="1"/>
  <c r="C97" i="1"/>
  <c r="D97" i="1"/>
  <c r="E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C98" i="1"/>
  <c r="D98" i="1"/>
  <c r="E98" i="1"/>
  <c r="G98" i="1"/>
  <c r="H98" i="1"/>
  <c r="I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C99" i="1"/>
  <c r="D99" i="1"/>
  <c r="E99" i="1"/>
  <c r="G99" i="1"/>
  <c r="H99" i="1"/>
  <c r="I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C100" i="1"/>
  <c r="D100" i="1"/>
  <c r="E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C101" i="1"/>
  <c r="D101" i="1"/>
  <c r="E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C102" i="1"/>
  <c r="D102" i="1"/>
  <c r="E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C103" i="1"/>
  <c r="D103" i="1"/>
  <c r="E103" i="1"/>
  <c r="G103" i="1"/>
  <c r="H103" i="1"/>
  <c r="I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C104" i="1"/>
  <c r="D104" i="1"/>
  <c r="E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C105" i="1"/>
  <c r="D105" i="1"/>
  <c r="E105" i="1"/>
  <c r="G105" i="1"/>
  <c r="H105" i="1"/>
  <c r="I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C106" i="1"/>
  <c r="D106" i="1"/>
  <c r="E106" i="1"/>
  <c r="F106" i="1"/>
  <c r="G106" i="1"/>
  <c r="H106" i="1"/>
  <c r="I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C108" i="1"/>
  <c r="D108" i="1"/>
  <c r="E108" i="1"/>
  <c r="F108" i="1"/>
  <c r="G108" i="1"/>
  <c r="H108" i="1"/>
  <c r="I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G96" i="1"/>
  <c r="H96" i="1"/>
  <c r="I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C96" i="1"/>
  <c r="D96" i="1"/>
  <c r="E96" i="1"/>
  <c r="C83" i="1"/>
  <c r="D83" i="1"/>
  <c r="E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C84" i="1"/>
  <c r="D84" i="1"/>
  <c r="E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C86" i="1"/>
  <c r="D86" i="1"/>
  <c r="E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C87" i="1"/>
  <c r="D87" i="1"/>
  <c r="E87" i="1"/>
  <c r="G87" i="1"/>
  <c r="H87" i="1"/>
  <c r="I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C88" i="1"/>
  <c r="D88" i="1"/>
  <c r="E88" i="1"/>
  <c r="G88" i="1"/>
  <c r="H88" i="1"/>
  <c r="I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C90" i="1"/>
  <c r="D90" i="1"/>
  <c r="E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C91" i="1"/>
  <c r="D91" i="1"/>
  <c r="E91" i="1"/>
  <c r="G91" i="1"/>
  <c r="H91" i="1"/>
  <c r="I91" i="1"/>
  <c r="K91" i="1"/>
  <c r="L91" i="1"/>
  <c r="M91" i="1"/>
  <c r="N91" i="1"/>
  <c r="O91" i="1"/>
  <c r="P91" i="1"/>
  <c r="Q91" i="1"/>
  <c r="S91" i="1"/>
  <c r="T91" i="1"/>
  <c r="U91" i="1"/>
  <c r="V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C93" i="1"/>
  <c r="D93" i="1"/>
  <c r="E93" i="1"/>
  <c r="G93" i="1"/>
  <c r="H93" i="1"/>
  <c r="I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C94" i="1"/>
  <c r="D94" i="1"/>
  <c r="E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C95" i="1"/>
  <c r="D95" i="1"/>
  <c r="E95" i="1"/>
  <c r="G95" i="1"/>
  <c r="H95" i="1"/>
  <c r="I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G82" i="1"/>
  <c r="H82" i="1"/>
  <c r="I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C82" i="1"/>
  <c r="D82" i="1"/>
  <c r="E82" i="1"/>
  <c r="F82" i="1"/>
  <c r="C80" i="1"/>
  <c r="D80" i="1"/>
  <c r="E80" i="1"/>
  <c r="F80" i="1"/>
  <c r="G80" i="1"/>
  <c r="H80" i="1"/>
  <c r="I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C81" i="1"/>
  <c r="D81" i="1"/>
  <c r="E81" i="1"/>
  <c r="G81" i="1"/>
  <c r="H81" i="1"/>
  <c r="I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F41" i="1"/>
  <c r="F102" i="1" s="1"/>
  <c r="J41" i="1"/>
  <c r="N41" i="1"/>
  <c r="R41" i="1"/>
  <c r="V41" i="1"/>
  <c r="Z41" i="1"/>
  <c r="AA41" i="1"/>
  <c r="AA102" i="1" s="1"/>
  <c r="F42" i="1"/>
  <c r="F103" i="1" s="1"/>
  <c r="J42" i="1"/>
  <c r="J103" i="1" s="1"/>
  <c r="N42" i="1"/>
  <c r="R42" i="1"/>
  <c r="V42" i="1"/>
  <c r="Z42" i="1"/>
  <c r="AA42" i="1"/>
  <c r="AA103" i="1" s="1"/>
  <c r="F51" i="1"/>
  <c r="F111" i="1" s="1"/>
  <c r="J51" i="1"/>
  <c r="N51" i="1"/>
  <c r="R51" i="1"/>
  <c r="V51" i="1"/>
  <c r="Z51" i="1"/>
  <c r="AA51" i="1"/>
  <c r="AA111" i="1" s="1"/>
  <c r="F52" i="1"/>
  <c r="J52" i="1"/>
  <c r="N52" i="1"/>
  <c r="R52" i="1"/>
  <c r="V52" i="1"/>
  <c r="Z52" i="1"/>
  <c r="AA52" i="1"/>
  <c r="AA112" i="1" s="1"/>
  <c r="F53" i="1"/>
  <c r="F113" i="1" s="1"/>
  <c r="J53" i="1"/>
  <c r="N53" i="1"/>
  <c r="R53" i="1"/>
  <c r="V53" i="1"/>
  <c r="Z53" i="1"/>
  <c r="AA53" i="1"/>
  <c r="AA113" i="1" s="1"/>
  <c r="F54" i="1"/>
  <c r="F114" i="1" s="1"/>
  <c r="J54" i="1"/>
  <c r="N54" i="1"/>
  <c r="R54" i="1"/>
  <c r="V54" i="1"/>
  <c r="Z54" i="1"/>
  <c r="AA54" i="1"/>
  <c r="AA114" i="1" s="1"/>
  <c r="F55" i="1"/>
  <c r="J55" i="1"/>
  <c r="J115" i="1" s="1"/>
  <c r="N55" i="1"/>
  <c r="R55" i="1"/>
  <c r="V55" i="1"/>
  <c r="Z55" i="1"/>
  <c r="AA55" i="1"/>
  <c r="AA115" i="1" s="1"/>
  <c r="F56" i="1"/>
  <c r="F116" i="1" s="1"/>
  <c r="J56" i="1"/>
  <c r="J116" i="1" s="1"/>
  <c r="N56" i="1"/>
  <c r="R56" i="1"/>
  <c r="V56" i="1"/>
  <c r="Z56" i="1"/>
  <c r="AA56" i="1"/>
  <c r="AA116" i="1" s="1"/>
  <c r="F57" i="1"/>
  <c r="F117" i="1" s="1"/>
  <c r="J57" i="1"/>
  <c r="J117" i="1" s="1"/>
  <c r="N57" i="1"/>
  <c r="R57" i="1"/>
  <c r="V57" i="1"/>
  <c r="Z57" i="1"/>
  <c r="AA57" i="1"/>
  <c r="AA117" i="1" s="1"/>
  <c r="F118" i="1"/>
  <c r="F59" i="1"/>
  <c r="F119" i="1" s="1"/>
  <c r="J59" i="1"/>
  <c r="N59" i="1"/>
  <c r="R59" i="1"/>
  <c r="V59" i="1"/>
  <c r="Z59" i="1"/>
  <c r="AA59" i="1"/>
  <c r="AA119" i="1" s="1"/>
  <c r="N63" i="1"/>
  <c r="N62" i="1"/>
  <c r="N61" i="1"/>
  <c r="N60" i="1"/>
  <c r="N50" i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61" i="1"/>
  <c r="F121" i="1" s="1"/>
  <c r="F60" i="1"/>
  <c r="F120" i="1" s="1"/>
  <c r="F50" i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22" i="1"/>
  <c r="F84" i="1" s="1"/>
  <c r="F21" i="1"/>
  <c r="F83" i="1" s="1"/>
  <c r="F20" i="1"/>
  <c r="J33" i="1"/>
  <c r="J95" i="1" s="1"/>
  <c r="J32" i="1"/>
  <c r="J31" i="1"/>
  <c r="J93" i="1" s="1"/>
  <c r="J30" i="1"/>
  <c r="J92" i="1" s="1"/>
  <c r="J28" i="1"/>
  <c r="J27" i="1"/>
  <c r="J89" i="1" s="1"/>
  <c r="J26" i="1"/>
  <c r="J88" i="1" s="1"/>
  <c r="J25" i="1"/>
  <c r="J87" i="1" s="1"/>
  <c r="J24" i="1"/>
  <c r="J23" i="1"/>
  <c r="J22" i="1"/>
  <c r="J21" i="1"/>
  <c r="J20" i="1"/>
  <c r="J82" i="1" s="1"/>
  <c r="N33" i="1"/>
  <c r="N32" i="1"/>
  <c r="N31" i="1"/>
  <c r="N30" i="1"/>
  <c r="N28" i="1"/>
  <c r="N27" i="1"/>
  <c r="N26" i="1"/>
  <c r="N25" i="1"/>
  <c r="N24" i="1"/>
  <c r="N23" i="1"/>
  <c r="N22" i="1"/>
  <c r="N21" i="1"/>
  <c r="N20" i="1"/>
  <c r="R26" i="1"/>
  <c r="V26" i="1"/>
  <c r="Z26" i="1"/>
  <c r="AA26" i="1"/>
  <c r="R27" i="1"/>
  <c r="V27" i="1"/>
  <c r="Z27" i="1"/>
  <c r="AA27" i="1"/>
  <c r="AA89" i="1" s="1"/>
  <c r="F11" i="1"/>
  <c r="F74" i="1" s="1"/>
  <c r="J11" i="1"/>
  <c r="J74" i="1" s="1"/>
  <c r="N11" i="1"/>
  <c r="R11" i="1"/>
  <c r="R74" i="1" s="1"/>
  <c r="V11" i="1"/>
  <c r="V74" i="1" s="1"/>
  <c r="Z11" i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J13" i="1"/>
  <c r="J76" i="1" s="1"/>
  <c r="N13" i="1"/>
  <c r="R13" i="1"/>
  <c r="V13" i="1"/>
  <c r="Z13" i="1"/>
  <c r="Z76" i="1" s="1"/>
  <c r="AA13" i="1"/>
  <c r="AA76" i="1" s="1"/>
  <c r="F14" i="1"/>
  <c r="F77" i="1" s="1"/>
  <c r="J14" i="1"/>
  <c r="J77" i="1" s="1"/>
  <c r="N14" i="1"/>
  <c r="R14" i="1"/>
  <c r="V14" i="1"/>
  <c r="Z14" i="1"/>
  <c r="AA14" i="1"/>
  <c r="AA77" i="1" s="1"/>
  <c r="V75" i="1"/>
  <c r="AA63" i="1"/>
  <c r="AA123" i="1" s="1"/>
  <c r="Z63" i="1"/>
  <c r="V63" i="1"/>
  <c r="R63" i="1"/>
  <c r="AA62" i="1"/>
  <c r="AA122" i="1" s="1"/>
  <c r="Z62" i="1"/>
  <c r="V62" i="1"/>
  <c r="R62" i="1"/>
  <c r="AA61" i="1"/>
  <c r="Z61" i="1"/>
  <c r="V61" i="1"/>
  <c r="R61" i="1"/>
  <c r="AA60" i="1"/>
  <c r="AA120" i="1" s="1"/>
  <c r="Z60" i="1"/>
  <c r="V60" i="1"/>
  <c r="R60" i="1"/>
  <c r="AA50" i="1"/>
  <c r="Z50" i="1"/>
  <c r="V50" i="1"/>
  <c r="R50" i="1"/>
  <c r="AA48" i="1"/>
  <c r="Z48" i="1"/>
  <c r="V48" i="1"/>
  <c r="R48" i="1"/>
  <c r="N48" i="1"/>
  <c r="J48" i="1"/>
  <c r="F48" i="1"/>
  <c r="AA47" i="1"/>
  <c r="AA108" i="1" s="1"/>
  <c r="Z47" i="1"/>
  <c r="V47" i="1"/>
  <c r="R47" i="1"/>
  <c r="N47" i="1"/>
  <c r="J47" i="1"/>
  <c r="J108" i="1" s="1"/>
  <c r="F47" i="1"/>
  <c r="AA46" i="1"/>
  <c r="AA107" i="1" s="1"/>
  <c r="Z46" i="1"/>
  <c r="V46" i="1"/>
  <c r="R46" i="1"/>
  <c r="N46" i="1"/>
  <c r="J46" i="1"/>
  <c r="F46" i="1"/>
  <c r="AA45" i="1"/>
  <c r="AA106" i="1" s="1"/>
  <c r="Z45" i="1"/>
  <c r="V45" i="1"/>
  <c r="R45" i="1"/>
  <c r="N45" i="1"/>
  <c r="J45" i="1"/>
  <c r="J106" i="1" s="1"/>
  <c r="F45" i="1"/>
  <c r="AA44" i="1"/>
  <c r="AA105" i="1" s="1"/>
  <c r="Z44" i="1"/>
  <c r="V44" i="1"/>
  <c r="R44" i="1"/>
  <c r="N44" i="1"/>
  <c r="J44" i="1"/>
  <c r="J105" i="1" s="1"/>
  <c r="F44" i="1"/>
  <c r="F105" i="1" s="1"/>
  <c r="AA43" i="1"/>
  <c r="AA104" i="1" s="1"/>
  <c r="Z43" i="1"/>
  <c r="V43" i="1"/>
  <c r="R43" i="1"/>
  <c r="N43" i="1"/>
  <c r="J43" i="1"/>
  <c r="F43" i="1"/>
  <c r="F104" i="1" s="1"/>
  <c r="AA40" i="1"/>
  <c r="AA101" i="1" s="1"/>
  <c r="Z40" i="1"/>
  <c r="V40" i="1"/>
  <c r="R40" i="1"/>
  <c r="N40" i="1"/>
  <c r="J40" i="1"/>
  <c r="F40" i="1"/>
  <c r="F101" i="1" s="1"/>
  <c r="AA39" i="1"/>
  <c r="Z39" i="1"/>
  <c r="V39" i="1"/>
  <c r="R39" i="1"/>
  <c r="N39" i="1"/>
  <c r="J39" i="1"/>
  <c r="F39" i="1"/>
  <c r="F100" i="1" s="1"/>
  <c r="AA38" i="1"/>
  <c r="AA99" i="1" s="1"/>
  <c r="Z38" i="1"/>
  <c r="V38" i="1"/>
  <c r="R38" i="1"/>
  <c r="N38" i="1"/>
  <c r="J38" i="1"/>
  <c r="J99" i="1" s="1"/>
  <c r="F38" i="1"/>
  <c r="F99" i="1" s="1"/>
  <c r="AA37" i="1"/>
  <c r="AA98" i="1" s="1"/>
  <c r="Z37" i="1"/>
  <c r="V37" i="1"/>
  <c r="R37" i="1"/>
  <c r="N37" i="1"/>
  <c r="J37" i="1"/>
  <c r="J98" i="1" s="1"/>
  <c r="F37" i="1"/>
  <c r="F98" i="1" s="1"/>
  <c r="AA36" i="1"/>
  <c r="AA97" i="1" s="1"/>
  <c r="Z36" i="1"/>
  <c r="V36" i="1"/>
  <c r="R36" i="1"/>
  <c r="N36" i="1"/>
  <c r="J36" i="1"/>
  <c r="F36" i="1"/>
  <c r="F97" i="1" s="1"/>
  <c r="AA35" i="1"/>
  <c r="AA96" i="1" s="1"/>
  <c r="Z35" i="1"/>
  <c r="V35" i="1"/>
  <c r="R35" i="1"/>
  <c r="N35" i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91" i="1"/>
  <c r="AA28" i="1"/>
  <c r="AA90" i="1" s="1"/>
  <c r="AA25" i="1"/>
  <c r="AA87" i="1" s="1"/>
  <c r="AA24" i="1"/>
  <c r="AA86" i="1" s="1"/>
  <c r="AA23" i="1"/>
  <c r="AA22" i="1"/>
  <c r="AA21" i="1"/>
  <c r="AA83" i="1" s="1"/>
  <c r="AA20" i="1"/>
  <c r="AA82" i="1" s="1"/>
  <c r="F18" i="1"/>
  <c r="F81" i="1" s="1"/>
  <c r="F17" i="1"/>
  <c r="F16" i="1"/>
  <c r="F79" i="1" s="1"/>
  <c r="F15" i="1"/>
  <c r="F78" i="1" s="1"/>
  <c r="F76" i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6" i="1"/>
  <c r="J5" i="1"/>
  <c r="J68" i="1" s="1"/>
  <c r="N18" i="1"/>
  <c r="N17" i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17" i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V33" i="1"/>
  <c r="R33" i="1"/>
  <c r="Z32" i="1"/>
  <c r="V32" i="1"/>
  <c r="R32" i="1"/>
  <c r="Z31" i="1"/>
  <c r="V31" i="1"/>
  <c r="R31" i="1"/>
  <c r="Z30" i="1"/>
  <c r="V30" i="1"/>
  <c r="R30" i="1"/>
  <c r="Z28" i="1"/>
  <c r="V28" i="1"/>
  <c r="R28" i="1"/>
  <c r="Z25" i="1"/>
  <c r="V25" i="1"/>
  <c r="R25" i="1"/>
  <c r="Z24" i="1"/>
  <c r="V24" i="1"/>
  <c r="R24" i="1"/>
  <c r="Z23" i="1"/>
  <c r="V23" i="1"/>
  <c r="R23" i="1"/>
  <c r="Z22" i="1"/>
  <c r="V22" i="1"/>
  <c r="R22" i="1"/>
  <c r="Z21" i="1"/>
  <c r="V21" i="1"/>
  <c r="R21" i="1"/>
  <c r="Z20" i="1"/>
  <c r="V20" i="1"/>
  <c r="R20" i="1"/>
  <c r="Z6" i="1"/>
  <c r="Z69" i="1" s="1"/>
  <c r="Z7" i="1"/>
  <c r="Z70" i="1" s="1"/>
  <c r="Z8" i="1"/>
  <c r="Z71" i="1" s="1"/>
  <c r="Z9" i="1"/>
  <c r="Z72" i="1" s="1"/>
  <c r="Z10" i="1"/>
  <c r="Z73" i="1" s="1"/>
  <c r="Z74" i="1"/>
  <c r="Z77" i="1"/>
  <c r="Z15" i="1"/>
  <c r="Z78" i="1" s="1"/>
  <c r="Z16" i="1"/>
  <c r="Z79" i="1" s="1"/>
  <c r="Z17" i="1"/>
  <c r="Z18" i="1"/>
  <c r="V6" i="1"/>
  <c r="V69" i="1" s="1"/>
  <c r="V7" i="1"/>
  <c r="V70" i="1" s="1"/>
  <c r="V8" i="1"/>
  <c r="V71" i="1" s="1"/>
  <c r="V9" i="1"/>
  <c r="V72" i="1" s="1"/>
  <c r="V10" i="1"/>
  <c r="V73" i="1" s="1"/>
  <c r="V76" i="1"/>
  <c r="V77" i="1"/>
  <c r="V15" i="1"/>
  <c r="V78" i="1" s="1"/>
  <c r="V16" i="1"/>
  <c r="V79" i="1" s="1"/>
  <c r="V17" i="1"/>
  <c r="V18" i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77" i="1"/>
  <c r="R15" i="1"/>
  <c r="R78" i="1" s="1"/>
  <c r="R16" i="1"/>
  <c r="R79" i="1" s="1"/>
  <c r="R17" i="1"/>
  <c r="R18" i="1"/>
  <c r="N74" i="1"/>
  <c r="N75" i="1"/>
  <c r="J69" i="1"/>
  <c r="J70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B35" i="6" l="1"/>
  <c r="B36" i="9" s="1"/>
  <c r="C36" i="9" s="1"/>
  <c r="B38" i="9"/>
  <c r="C38" i="9" s="1"/>
  <c r="B46" i="9"/>
  <c r="C46" i="9" s="1"/>
  <c r="B49" i="9"/>
  <c r="C49" i="9" s="1"/>
  <c r="B39" i="9"/>
  <c r="C39" i="9" s="1"/>
  <c r="B47" i="9"/>
  <c r="C47" i="9" s="1"/>
  <c r="B40" i="9"/>
  <c r="C40" i="9" s="1"/>
  <c r="B48" i="9"/>
  <c r="C48" i="9" s="1"/>
  <c r="B41" i="9"/>
  <c r="C41" i="9" s="1"/>
  <c r="B42" i="9"/>
  <c r="C42" i="9" s="1"/>
  <c r="B43" i="9"/>
  <c r="C43" i="9" s="1"/>
  <c r="B44" i="9"/>
  <c r="C44" i="9" s="1"/>
  <c r="B37" i="9"/>
  <c r="C37" i="9" s="1"/>
  <c r="B45" i="9"/>
  <c r="C45" i="9" s="1"/>
  <c r="B50" i="6"/>
  <c r="B51" i="9" s="1"/>
  <c r="C51" i="9" s="1"/>
  <c r="B53" i="9"/>
  <c r="C53" i="9" s="1"/>
  <c r="B61" i="9"/>
  <c r="C61" i="9" s="1"/>
  <c r="B62" i="9"/>
  <c r="C62" i="9" s="1"/>
  <c r="B63" i="9"/>
  <c r="C63" i="9" s="1"/>
  <c r="B56" i="9"/>
  <c r="C56" i="9" s="1"/>
  <c r="B64" i="9"/>
  <c r="C64" i="9" s="1"/>
  <c r="B54" i="9"/>
  <c r="C54" i="9" s="1"/>
  <c r="B55" i="9"/>
  <c r="C55" i="9" s="1"/>
  <c r="B58" i="9"/>
  <c r="C58" i="9" s="1"/>
  <c r="B59" i="9"/>
  <c r="C59" i="9" s="1"/>
  <c r="B57" i="9"/>
  <c r="C57" i="9" s="1"/>
  <c r="B52" i="9"/>
  <c r="C52" i="9" s="1"/>
  <c r="B60" i="9"/>
  <c r="C60" i="9" s="1"/>
  <c r="B20" i="6"/>
  <c r="B21" i="9" s="1"/>
  <c r="C21" i="9" s="1"/>
  <c r="B23" i="9"/>
  <c r="C23" i="9" s="1"/>
  <c r="B31" i="9"/>
  <c r="C31" i="9" s="1"/>
  <c r="B33" i="9"/>
  <c r="C33" i="9" s="1"/>
  <c r="B24" i="9"/>
  <c r="C24" i="9" s="1"/>
  <c r="B32" i="9"/>
  <c r="C32" i="9" s="1"/>
  <c r="B25" i="9"/>
  <c r="C25" i="9" s="1"/>
  <c r="B26" i="9"/>
  <c r="C26" i="9" s="1"/>
  <c r="B34" i="9"/>
  <c r="C34" i="9" s="1"/>
  <c r="B27" i="9"/>
  <c r="C27" i="9" s="1"/>
  <c r="B28" i="9"/>
  <c r="C28" i="9" s="1"/>
  <c r="B29" i="9"/>
  <c r="C29" i="9" s="1"/>
  <c r="B22" i="9"/>
  <c r="C22" i="9" s="1"/>
  <c r="B30" i="9"/>
  <c r="C30" i="9" s="1"/>
  <c r="B5" i="6"/>
  <c r="B6" i="9" s="1"/>
  <c r="C6" i="9" s="1"/>
  <c r="B10" i="9"/>
  <c r="C10" i="9" s="1"/>
  <c r="B18" i="9"/>
  <c r="C18" i="9" s="1"/>
  <c r="B11" i="9"/>
  <c r="C11" i="9" s="1"/>
  <c r="B19" i="9"/>
  <c r="C19" i="9" s="1"/>
  <c r="B12" i="9"/>
  <c r="C12" i="9" s="1"/>
  <c r="B13" i="9"/>
  <c r="C13" i="9" s="1"/>
  <c r="B14" i="9"/>
  <c r="C14" i="9" s="1"/>
  <c r="B7" i="9"/>
  <c r="C7" i="9" s="1"/>
  <c r="B15" i="9"/>
  <c r="C15" i="9" s="1"/>
  <c r="B8" i="9"/>
  <c r="C8" i="9" s="1"/>
  <c r="B16" i="9"/>
  <c r="C16" i="9" s="1"/>
  <c r="B9" i="9"/>
  <c r="C9" i="9" s="1"/>
  <c r="B17" i="9"/>
  <c r="C17" i="9" s="1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<sst xmlns="http://schemas.openxmlformats.org/spreadsheetml/2006/main" count="3739" uniqueCount="420">
  <si>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</si>
  <si>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</si>
  <si>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</si>
  <si>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</si>
  <si>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</si>
  <si>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</si>
  <si>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</si>
  <si>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</si>
  <si>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</si>
  <si>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</si>
  <si>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</si>
  <si>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</si>
  <si>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</si>
  <si>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</si>
  <si>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</si>
  <si>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</si>
  <si>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</si>
  <si>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</si>
  <si>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</si>
  <si>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</si>
  <si>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</si>
  <si>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</si>
  <si>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</si>
  <si>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</si>
  <si>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</si>
  <si>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</si>
  <si>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</si>
  <si>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</si>
  <si>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</si>
  <si>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</si>
  <si>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</si>
  <si>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</si>
  <si>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</si>
  <si>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</si>
  <si>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</si>
  <si>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</si>
  <si>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</si>
  <si>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</si>
  <si>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</si>
  <si>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</si>
  <si>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</si>
  <si>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</si>
  <si>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</si>
  <si>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</si>
  <si>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/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</si>
  <si>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</si>
  <si>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</si>
  <si>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</si>
  <si>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</si>
  <si>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</si>
  <si>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</si>
  <si>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</si>
  <si>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</si>
  <si>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</si>
  <si>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</si>
  <si>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</si>
  <si>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</si>
  <si>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</si>
  <si>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</si>
  <si>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</si>
  <si>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</si>
  <si>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</si>
  <si>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</si>
  <si>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</si>
  <si>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</si>
  <si>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</si>
  <si>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</si>
  <si>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</si>
  <si>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</si>
  <si>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</si>
  <si>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</si>
  <si>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</si>
  <si>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</si>
  <si>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</si>
  <si>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</si>
  <si>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</si>
  <si>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</si>
  <si>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</si>
  <si>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</si>
  <si>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</si>
  <si>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</si>
  <si>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</si>
  <si>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</si>
  <si>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</si>
  <si>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</si>
  <si>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</si>
  <si>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</si>
  <si>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</si>
  <si>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</si>
  <si>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</si>
  <si>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</si>
  <si>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</si>
  <si>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</si>
  <si>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</si>
  <si>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</si>
  <si>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</si>
  <si>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</si>
  <si>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</si>
  <si>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</si>
  <si>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</si>
  <si>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</si>
  <si>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Submitter</t>
  </si>
  <si>
    <t>Submission Date</t>
  </si>
  <si>
    <t>Submission ID</t>
  </si>
  <si>
    <t>A. Guarnaccia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</si>
  <si>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</si>
  <si>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</si>
  <si>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</si>
  <si>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</si>
  <si>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</si>
  <si>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</si>
  <si>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</si>
  <si>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</si>
  <si>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</si>
  <si>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</si>
  <si>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</si>
  <si>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</si>
  <si>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</si>
  <si>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</si>
  <si>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</si>
  <si>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</si>
  <si>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</si>
  <si>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</si>
  <si>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</si>
  <si>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</si>
  <si>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</si>
  <si>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</si>
  <si>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</si>
  <si>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</si>
  <si>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</si>
  <si>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</si>
  <si>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</si>
  <si>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</si>
  <si>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</si>
  <si>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</si>
  <si>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</si>
  <si>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</si>
  <si>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</si>
  <si>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</si>
  <si>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</si>
  <si>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</si>
  <si>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</si>
  <si>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</si>
  <si>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</si>
  <si>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</si>
  <si>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</si>
  <si>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</si>
  <si>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</si>
  <si>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</si>
  <si>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</si>
  <si>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</si>
  <si>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</si>
  <si>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</si>
  <si>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TLM_PARENTI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</si>
  <si>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</si>
  <si>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</si>
  <si>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</si>
  <si>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</si>
  <si>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</si>
  <si>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</si>
  <si>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</si>
  <si>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</si>
  <si>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</si>
  <si>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</si>
  <si>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</si>
  <si>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</si>
  <si>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</si>
  <si>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</si>
  <si>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</si>
  <si>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</si>
  <si>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</si>
  <si>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</si>
  <si>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</si>
  <si>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</si>
  <si>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</si>
  <si>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</si>
  <si>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</si>
  <si>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</si>
  <si>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</si>
  <si>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</si>
  <si>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</si>
  <si>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</si>
  <si>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</si>
  <si>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</si>
  <si>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</si>
  <si>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</si>
  <si>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</si>
  <si>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</si>
  <si>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</si>
  <si>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</si>
  <si>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</si>
  <si>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</si>
  <si>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</si>
  <si>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</si>
  <si>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</si>
  <si>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</si>
  <si>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</si>
  <si>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</si>
  <si>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</si>
  <si>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</si>
  <si>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</si>
  <si>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</si>
  <si>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</si>
  <si>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</si>
  <si>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</si>
  <si>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</si>
  <si>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</si>
  <si>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</si>
  <si>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</si>
  <si>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</si>
  <si>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</si>
  <si>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</si>
  <si>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</si>
  <si>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</si>
  <si>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</si>
  <si>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</si>
  <si>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</si>
  <si>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</si>
  <si>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</si>
  <si>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</si>
  <si>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</si>
  <si>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</si>
  <si>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</si>
  <si>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</si>
  <si>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</si>
  <si>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</si>
  <si>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</si>
  <si>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</si>
  <si>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</si>
  <si>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</si>
  <si>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</si>
  <si>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</si>
  <si>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</si>
  <si>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</si>
  <si>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</si>
  <si>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</si>
  <si>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</si>
  <si>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</si>
  <si>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</si>
  <si>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</si>
  <si>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</si>
  <si>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</si>
  <si>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</si>
  <si>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</si>
  <si>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</si>
  <si>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</si>
  <si>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</si>
  <si>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</si>
  <si>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</si>
  <si>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</si>
  <si>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</si>
  <si>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</si>
  <si>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</si>
  <si>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</si>
  <si>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</si>
  <si>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</si>
  <si>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</si>
  <si>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A.Proietti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</si>
  <si>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</si>
  <si>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</si>
  <si>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</si>
  <si>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</si>
  <si>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</si>
  <si>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</si>
  <si>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</si>
  <si>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</si>
  <si>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</si>
  <si>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</si>
  <si>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</si>
  <si>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</si>
  <si>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</si>
  <si>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>Il Predestinato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</si>
  <si>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</si>
  <si>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</si>
  <si>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</si>
  <si>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</si>
  <si>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</si>
  <si>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</si>
  <si>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</si>
  <si>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</si>
  <si>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</si>
  <si>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</si>
  <si>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</si>
  <si>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</si>
  <si>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</si>
  <si>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</si>
  <si>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</si>
  <si>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</si>
  <si>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</si>
  <si>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</si>
  <si>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</si>
  <si>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</si>
  <si>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</si>
  <si>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</si>
  <si>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</si>
  <si>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</si>
  <si>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</si>
  <si>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</si>
  <si>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</si>
  <si>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</si>
  <si>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</si>
  <si>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</si>
  <si>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</si>
  <si>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</si>
  <si>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</si>
  <si>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</si>
  <si>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</si>
  <si>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</si>
  <si>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</si>
  <si>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</si>
  <si>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</si>
  <si>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</si>
  <si>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</si>
  <si>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</si>
  <si>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</si>
  <si>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</si>
  <si>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</si>
  <si>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</si>
  <si>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</si>
  <si>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</si>
  <si>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</si>
  <si>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</si>
  <si>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</si>
  <si>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</si>
  <si>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</si>
  <si>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</si>
  <si>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</si>
  <si>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</si>
  <si>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</si>
  <si>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</si>
  <si>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</si>
  <si>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</si>
  <si>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</si>
  <si>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</si>
  <si>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</si>
  <si>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</si>
  <si>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</si>
  <si>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</si>
  <si>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</si>
  <si>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</si>
  <si>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</si>
  <si>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</si>
  <si>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</si>
  <si>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</si>
  <si>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</si>
  <si>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</si>
  <si>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</si>
  <si>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</si>
  <si>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</si>
  <si>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</si>
  <si>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</si>
  <si>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</si>
  <si>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</si>
  <si>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</si>
  <si>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</si>
  <si>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</si>
  <si>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</si>
  <si>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</si>
  <si>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</si>
  <si>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</si>
  <si>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</si>
  <si>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</si>
  <si>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</si>
  <si>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</si>
  <si>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</si>
  <si>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</si>
  <si>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</si>
  <si>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</si>
  <si>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</si>
  <si>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</si>
  <si>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</si>
  <si>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</si>
  <si>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</si>
  <si>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</si>
  <si>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</si>
  <si>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</si>
  <si>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</si>
  <si>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</si>
  <si>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</si>
  <si>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</si>
  <si>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</si>
  <si>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</si>
  <si>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</si>
  <si>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</si>
  <si>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</si>
  <si>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</si>
  <si>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</si>
  <si>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</si>
  <si>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</si>
  <si>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</si>
  <si>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</si>
  <si>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</si>
  <si>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</si>
  <si>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</si>
  <si>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</si>
  <si>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</si>
  <si>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POST GARA 1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</si>
  <si>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</si>
  <si>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</si>
  <si>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</si>
  <si>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</si>
  <si>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</si>
  <si>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</si>
  <si>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</si>
  <si>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</si>
  <si>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</si>
  <si>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</si>
  <si>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</si>
  <si>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</si>
  <si>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WORLD TOUR By TEAM LION MOTORSPORT</t>
  </si>
  <si>
    <t>LOBBY GARA 2</t>
  </si>
  <si>
    <t>LOBBY 4 giovedì ore 22:10</t>
  </si>
  <si>
    <t>LOBBY 2 martedì ore 22:10</t>
  </si>
  <si>
    <t>DRT-Mirkobenny85</t>
  </si>
  <si>
    <t>Provvedimento n. 2</t>
  </si>
  <si>
    <t>GARA 2</t>
  </si>
  <si>
    <t>Per i ripetuti "zig-zag" osservati nel corso della gara</t>
  </si>
  <si>
    <t>Per il contatto alla curva ?? nel primo giro 34</t>
  </si>
  <si>
    <t>La direzione gara ricorda che non si può fare zig zag in pista. È consentito un solo cambio di direzione per coprirsi. I piloti che si sentiranno ostacolati da tali comportamenti sono invitati a mandare il video di reclamo.</t>
  </si>
  <si>
    <t>Per il contatto alla curva ?? nel primo giro 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</si>
</sst>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b/>
      <sz val="14"/>
      <color theme="1"/>
      <name val="Agency FB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6"/>
      <color rgb="FFFFFF00"/>
      <name val="Agency FB"/>
    </font>
    <font>
      <sz val="16"/>
      <color theme="2" tint="-9.9978637043366805E-2"/>
      <name val="Agency FB"/>
    </font>
    <font>
      <sz val="16"/>
      <color rgb="FFFFC000"/>
      <name val="Agency FB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wrapText="1"/>
    </xf>
    <xf numFmtId="0" fontId="21" fillId="6" borderId="1" xfId="0" applyFont="1" applyFill="1" applyBorder="1" applyAlignment="1">
      <alignment horizont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1" xfId="0" applyFont="1" applyFill="1" applyBorder="1"/>
    <xf numFmtId="0" fontId="2" fillId="2" borderId="1" xfId="0" applyFont="1" applyFill="1" applyBorder="1"/>
    <xf numFmtId="0" fontId="16" fillId="2" borderId="1" xfId="0" applyFont="1" applyFill="1" applyBorder="1" applyAlignment="1">
      <alignment horizontal="right"/>
    </xf>
    <xf numFmtId="0" fontId="23" fillId="7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wrapText="1"/>
    </xf>
    <xf numFmtId="0" fontId="31" fillId="0" borderId="0" xfId="0" applyFont="1"/>
    <xf numFmtId="0" fontId="30" fillId="2" borderId="1" xfId="0" applyFont="1" applyFill="1" applyBorder="1"/>
    <xf numFmtId="0" fontId="33" fillId="3" borderId="1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49" fontId="30" fillId="9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2" borderId="1" xfId="0" applyFont="1" applyFill="1" applyBorder="1" applyAlignment="1">
      <alignment horizontal="center"/>
    </xf>
    <xf numFmtId="0" fontId="30" fillId="2" borderId="6" xfId="0" applyFont="1" applyFill="1" applyBorder="1" applyAlignment="1">
      <alignment horizontal="center"/>
    </xf>
    <xf numFmtId="0" fontId="30" fillId="2" borderId="12" xfId="0" applyFont="1" applyFill="1" applyBorder="1" applyAlignment="1">
      <alignment horizontal="center"/>
    </xf>
    <xf numFmtId="0" fontId="30" fillId="2" borderId="4" xfId="0" applyFont="1" applyFill="1" applyBorder="1" applyAlignment="1">
      <alignment horizontal="center"/>
    </xf>
    <xf numFmtId="0" fontId="32" fillId="2" borderId="11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254000</xdr:colOff>
      <xdr:row>14</xdr:row>
      <xdr:rowOff>101600</xdr:rowOff>
    </xdr:from>
    <xdr:to>
      <xdr:col>6</xdr:col>
      <xdr:colOff>3392424</xdr:colOff>
      <xdr:row>34</xdr:row>
      <xdr:rowOff>101600</xdr:rowOff>
    </xdr:to>
    <xdr:pic>
      <xdr:nvPicPr>
        <xdr:cNvPr id="4" name="Immagine 3" descr="Road Atlanta and HP Composites">
          <a:extLst>
            <a:ext uri="{FF2B5EF4-FFF2-40B4-BE49-F238E27FC236}">
              <a16:creationId xmlns:a16="http://schemas.microsoft.com/office/drawing/2014/main" id="{E664F59E-8DC2-11EE-199A-ECC05413B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5334000"/>
          <a:ext cx="8396224" cy="406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11" zoomScale="94" zoomScaleNormal="94" workbookViewId="0">
      <selection activeCell="AL30" sqref="AL30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101" t="s">
        <v>96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</row>
    <row r="2" spans="1:33" ht="22" customHeight="1" x14ac:dyDescent="0.2">
      <c r="A2" s="100" t="s">
        <v>0</v>
      </c>
      <c r="B2" s="102" t="s">
        <v>14</v>
      </c>
      <c r="C2" s="93" t="s">
        <v>47</v>
      </c>
      <c r="D2" s="94"/>
      <c r="E2" s="94"/>
      <c r="F2" s="95"/>
      <c r="G2" s="93" t="s">
        <v>40</v>
      </c>
      <c r="H2" s="94"/>
      <c r="I2" s="94"/>
      <c r="J2" s="95"/>
      <c r="K2" s="93" t="s">
        <v>48</v>
      </c>
      <c r="L2" s="94"/>
      <c r="M2" s="94"/>
      <c r="N2" s="95"/>
      <c r="O2" s="93" t="s">
        <v>39</v>
      </c>
      <c r="P2" s="94"/>
      <c r="Q2" s="94"/>
      <c r="R2" s="95"/>
      <c r="S2" s="93" t="s">
        <v>41</v>
      </c>
      <c r="T2" s="94"/>
      <c r="U2" s="94"/>
      <c r="V2" s="95"/>
      <c r="W2" s="93" t="s">
        <v>49</v>
      </c>
      <c r="X2" s="94"/>
      <c r="Y2" s="94"/>
      <c r="Z2" s="95"/>
      <c r="AA2" s="88" t="s">
        <v>34</v>
      </c>
    </row>
    <row r="3" spans="1:33" ht="22" customHeight="1" x14ac:dyDescent="0.2">
      <c r="A3" s="100"/>
      <c r="B3" s="102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88"/>
    </row>
    <row r="4" spans="1:33" ht="19" customHeight="1" x14ac:dyDescent="0.2">
      <c r="A4" s="96" t="s">
        <v>30</v>
      </c>
      <c r="B4" s="97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52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/>
      <c r="M5" s="12"/>
      <c r="N5" s="47">
        <f>SUM(K5:M5)</f>
        <v>0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9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53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/>
      <c r="M6" s="12"/>
      <c r="N6" s="47">
        <f t="shared" ref="N6:N18" si="2">SUM(K6:M6)</f>
        <v>0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14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54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/>
      <c r="M7" s="12"/>
      <c r="N7" s="47">
        <f t="shared" si="2"/>
        <v>0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18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55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/>
      <c r="M8" s="12"/>
      <c r="N8" s="47">
        <f t="shared" si="2"/>
        <v>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32</v>
      </c>
      <c r="AF8">
        <v>5</v>
      </c>
      <c r="AG8">
        <v>14</v>
      </c>
    </row>
    <row r="9" spans="1:33" ht="19" customHeight="1" x14ac:dyDescent="0.25">
      <c r="A9" s="28" t="s">
        <v>6</v>
      </c>
      <c r="B9" s="59" t="s">
        <v>56</v>
      </c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57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/>
      <c r="M10" s="20"/>
      <c r="N10" s="47">
        <f t="shared" si="2"/>
        <v>0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28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58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/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59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/>
      <c r="M12" s="20"/>
      <c r="N12" s="47">
        <f t="shared" si="9"/>
        <v>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23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60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61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62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/>
      <c r="L15" s="12"/>
      <c r="M15" s="12"/>
      <c r="N15" s="47">
        <f t="shared" si="2"/>
        <v>0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54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/>
      <c r="M16" s="20"/>
      <c r="N16" s="47">
        <f t="shared" si="2"/>
        <v>0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30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63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/>
      <c r="M17" s="20"/>
      <c r="N17" s="47">
        <f t="shared" si="2"/>
        <v>0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18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64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/>
      <c r="M18" s="20"/>
      <c r="N18" s="47">
        <f t="shared" si="2"/>
        <v>0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16</v>
      </c>
      <c r="AD18" s="38"/>
      <c r="AE18" s="38"/>
      <c r="AF18" t="s">
        <v>45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98" t="s">
        <v>31</v>
      </c>
      <c r="B19" s="99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46</v>
      </c>
      <c r="AG19">
        <v>1</v>
      </c>
    </row>
    <row r="20" spans="1:16358" ht="19" customHeight="1" x14ac:dyDescent="0.25">
      <c r="A20" s="3" t="s">
        <v>2</v>
      </c>
      <c r="B20" s="59" t="s">
        <v>65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/>
      <c r="M20" s="12"/>
      <c r="N20" s="47">
        <f>SUM(K20:M20)</f>
        <v>0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16</v>
      </c>
    </row>
    <row r="21" spans="1:16358" ht="19" customHeight="1" x14ac:dyDescent="0.25">
      <c r="A21" s="4" t="s">
        <v>3</v>
      </c>
      <c r="B21" s="59" t="s">
        <v>66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/>
      <c r="M21" s="12"/>
      <c r="N21" s="47">
        <f t="shared" ref="N21:N33" si="16">SUM(K21:M21)</f>
        <v>0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5</v>
      </c>
      <c r="AD21" s="59" t="s">
        <v>71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67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/>
      <c r="M22" s="12"/>
      <c r="N22" s="47">
        <f t="shared" si="16"/>
        <v>0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5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69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89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388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/>
      <c r="M25" s="20"/>
      <c r="N25" s="47">
        <f t="shared" si="16"/>
        <v>0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25</v>
      </c>
    </row>
    <row r="26" spans="1:16358" ht="19" customHeight="1" x14ac:dyDescent="0.25">
      <c r="A26" s="5" t="s">
        <v>8</v>
      </c>
      <c r="B26" s="59" t="s">
        <v>70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/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/>
      <c r="M27" s="20"/>
      <c r="N27" s="47">
        <f t="shared" si="16"/>
        <v>0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13</v>
      </c>
    </row>
    <row r="28" spans="1:16358" ht="19" customHeight="1" x14ac:dyDescent="0.25">
      <c r="A28" s="5" t="s">
        <v>10</v>
      </c>
      <c r="B28" s="59" t="s">
        <v>91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/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71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/>
      <c r="J29" s="47">
        <f t="shared" si="15"/>
        <v>20</v>
      </c>
      <c r="K29" s="12"/>
      <c r="L29" s="12"/>
      <c r="M29" s="12"/>
      <c r="N29" s="47">
        <f t="shared" si="16"/>
        <v>0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39</v>
      </c>
    </row>
    <row r="30" spans="1:16358" ht="19" customHeight="1" x14ac:dyDescent="0.25">
      <c r="A30" s="5" t="s">
        <v>12</v>
      </c>
      <c r="B30" s="59" t="s">
        <v>72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/>
      <c r="M30" s="12"/>
      <c r="N30" s="47">
        <f t="shared" si="16"/>
        <v>0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33</v>
      </c>
      <c r="AL30" t="s">
        <v>262</v>
      </c>
    </row>
    <row r="31" spans="1:16358" ht="19" customHeight="1" x14ac:dyDescent="0.25">
      <c r="A31" s="5" t="s">
        <v>13</v>
      </c>
      <c r="B31" s="59" t="s">
        <v>73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/>
      <c r="M31" s="20"/>
      <c r="N31" s="47">
        <f t="shared" si="16"/>
        <v>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51</v>
      </c>
      <c r="AI31" s="59" t="s">
        <v>71</v>
      </c>
    </row>
    <row r="32" spans="1:16358" ht="19" customHeight="1" x14ac:dyDescent="0.25">
      <c r="A32" s="5" t="s">
        <v>20</v>
      </c>
      <c r="B32" s="59" t="s">
        <v>373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/>
      <c r="M32" s="20"/>
      <c r="N32" s="47">
        <f t="shared" si="16"/>
        <v>0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30</v>
      </c>
    </row>
    <row r="33" spans="1:35" ht="19" customHeight="1" x14ac:dyDescent="0.25">
      <c r="A33" s="5" t="s">
        <v>21</v>
      </c>
      <c r="B33" s="59" t="s">
        <v>74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/>
      <c r="M33" s="20"/>
      <c r="N33" s="47">
        <f t="shared" si="16"/>
        <v>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8</v>
      </c>
    </row>
    <row r="34" spans="1:35" ht="19" customHeight="1" x14ac:dyDescent="0.2">
      <c r="A34" s="96" t="s">
        <v>50</v>
      </c>
      <c r="B34" s="97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75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/>
      <c r="M35" s="12"/>
      <c r="N35" s="47">
        <f>SUM(K35:M35)</f>
        <v>0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34</v>
      </c>
    </row>
    <row r="36" spans="1:35" ht="19" customHeight="1" x14ac:dyDescent="0.25">
      <c r="A36" s="26" t="s">
        <v>3</v>
      </c>
      <c r="B36" s="59" t="s">
        <v>76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77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/>
      <c r="M37" s="12"/>
      <c r="N37" s="47">
        <f t="shared" si="41"/>
        <v>0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16</v>
      </c>
    </row>
    <row r="38" spans="1:35" ht="19" customHeight="1" x14ac:dyDescent="0.25">
      <c r="A38" s="28" t="s">
        <v>5</v>
      </c>
      <c r="B38" s="59" t="s">
        <v>308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/>
      <c r="M38" s="12"/>
      <c r="N38" s="47">
        <f t="shared" si="41"/>
        <v>0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8</v>
      </c>
    </row>
    <row r="39" spans="1:35" ht="19" customHeight="1" x14ac:dyDescent="0.25">
      <c r="A39" s="28" t="s">
        <v>6</v>
      </c>
      <c r="B39" s="59" t="s">
        <v>78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/>
      <c r="M39" s="12"/>
      <c r="N39" s="47">
        <f t="shared" si="41"/>
        <v>0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3</v>
      </c>
    </row>
    <row r="40" spans="1:35" ht="19" customHeight="1" x14ac:dyDescent="0.25">
      <c r="A40" s="28" t="s">
        <v>7</v>
      </c>
      <c r="B40" s="59" t="s">
        <v>79</v>
      </c>
      <c r="C40" s="12"/>
      <c r="D40" s="12">
        <v>20</v>
      </c>
      <c r="E40" s="12"/>
      <c r="F40" s="47">
        <f t="shared" si="39"/>
        <v>20</v>
      </c>
      <c r="G40" s="12"/>
      <c r="H40" s="12"/>
      <c r="I40" s="12"/>
      <c r="J40" s="47">
        <f t="shared" si="40"/>
        <v>0</v>
      </c>
      <c r="K40" s="20"/>
      <c r="L40" s="20"/>
      <c r="M40" s="20"/>
      <c r="N40" s="47">
        <f t="shared" si="41"/>
        <v>0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20</v>
      </c>
    </row>
    <row r="41" spans="1:35" ht="19" customHeight="1" x14ac:dyDescent="0.25">
      <c r="A41" s="5" t="s">
        <v>8</v>
      </c>
      <c r="B41" s="59" t="s">
        <v>80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/>
      <c r="I41" s="12"/>
      <c r="J41" s="47">
        <f t="shared" ref="J41:J42" si="47">SUM(G41:I41)</f>
        <v>0</v>
      </c>
      <c r="K41" s="12"/>
      <c r="L41" s="12"/>
      <c r="M41" s="12"/>
      <c r="N41" s="47">
        <f t="shared" ref="N41:N42" si="48">SUM(K41:M41)</f>
        <v>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14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346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/>
      <c r="M42" s="20"/>
      <c r="N42" s="47">
        <f t="shared" si="48"/>
        <v>0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11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/>
      <c r="M43" s="12"/>
      <c r="N43" s="47">
        <f t="shared" si="41"/>
        <v>0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5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81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/>
      <c r="L44" s="20"/>
      <c r="M44" s="20"/>
      <c r="N44" s="47">
        <f t="shared" si="41"/>
        <v>0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54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/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/>
      <c r="M45" s="12"/>
      <c r="N45" s="47">
        <f t="shared" si="41"/>
        <v>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20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82</v>
      </c>
      <c r="C46" s="20"/>
      <c r="D46" s="20">
        <v>18</v>
      </c>
      <c r="E46" s="20"/>
      <c r="F46" s="47">
        <f t="shared" si="39"/>
        <v>18</v>
      </c>
      <c r="G46" s="12"/>
      <c r="H46" s="12"/>
      <c r="I46" s="12"/>
      <c r="J46" s="47">
        <f t="shared" si="40"/>
        <v>0</v>
      </c>
      <c r="K46" s="20"/>
      <c r="L46" s="20"/>
      <c r="M46" s="20"/>
      <c r="N46" s="47">
        <f t="shared" si="41"/>
        <v>0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18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83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84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98" t="s">
        <v>51</v>
      </c>
      <c r="B49" s="99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85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/>
      <c r="M50" s="12"/>
      <c r="N50" s="47">
        <f>SUM(K50:M50)</f>
        <v>0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32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/>
      <c r="M51" s="12"/>
      <c r="N51" s="47">
        <f t="shared" ref="N51:N55" si="56">SUM(K51:M51)</f>
        <v>0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86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/>
      <c r="M52" s="12"/>
      <c r="N52" s="47">
        <f t="shared" si="56"/>
        <v>0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20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95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141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/>
      <c r="M54" s="12"/>
      <c r="N54" s="47">
        <f t="shared" si="56"/>
        <v>0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16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94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45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87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/>
      <c r="L56" s="12"/>
      <c r="M56" s="12"/>
      <c r="N56" s="47">
        <f t="shared" ref="N56:N59" si="63">SUM(K56:M56)</f>
        <v>0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48</v>
      </c>
      <c r="AH56" t="s">
        <v>46</v>
      </c>
      <c r="AI56">
        <v>1</v>
      </c>
    </row>
    <row r="57" spans="1:36" ht="19" customHeight="1" x14ac:dyDescent="0.25">
      <c r="A57" s="44" t="s">
        <v>9</v>
      </c>
      <c r="B57" s="59" t="s">
        <v>88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/>
      <c r="M57" s="20"/>
      <c r="N57" s="47">
        <f t="shared" si="63"/>
        <v>0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6</v>
      </c>
    </row>
    <row r="58" spans="1:36" ht="19" customHeight="1" x14ac:dyDescent="0.25">
      <c r="A58" s="5" t="s">
        <v>10</v>
      </c>
      <c r="B58" s="59" t="s">
        <v>89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/>
      <c r="M58" s="20"/>
      <c r="N58" s="47">
        <f t="shared" si="63"/>
        <v>0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30</v>
      </c>
    </row>
    <row r="59" spans="1:36" ht="19" customHeight="1" x14ac:dyDescent="0.25">
      <c r="A59" s="5" t="s">
        <v>11</v>
      </c>
      <c r="B59" s="59" t="s">
        <v>90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/>
      <c r="M59" s="20"/>
      <c r="N59" s="47">
        <f t="shared" si="63"/>
        <v>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10</v>
      </c>
    </row>
    <row r="60" spans="1:36" ht="19" customHeight="1" x14ac:dyDescent="0.25">
      <c r="A60" s="5" t="s">
        <v>12</v>
      </c>
      <c r="B60" s="59" t="s">
        <v>413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/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173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/>
      <c r="M61" s="20"/>
      <c r="N61" s="47">
        <f t="shared" si="70"/>
        <v>0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26</v>
      </c>
    </row>
    <row r="62" spans="1:36" ht="19" customHeight="1" x14ac:dyDescent="0.25">
      <c r="A62" s="5" t="s">
        <v>20</v>
      </c>
      <c r="B62" s="59" t="s">
        <v>92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/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93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/>
      <c r="M63" s="20"/>
      <c r="N63" s="47">
        <f t="shared" si="70"/>
        <v>0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20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89" t="s">
        <v>42</v>
      </c>
      <c r="B66" s="90"/>
      <c r="C66" s="93" t="s">
        <v>47</v>
      </c>
      <c r="D66" s="94"/>
      <c r="E66" s="94"/>
      <c r="F66" s="95"/>
      <c r="G66" s="93" t="s">
        <v>40</v>
      </c>
      <c r="H66" s="94"/>
      <c r="I66" s="94"/>
      <c r="J66" s="95"/>
      <c r="K66" s="93" t="s">
        <v>48</v>
      </c>
      <c r="L66" s="94"/>
      <c r="M66" s="94"/>
      <c r="N66" s="95"/>
      <c r="O66" s="93" t="s">
        <v>39</v>
      </c>
      <c r="P66" s="94"/>
      <c r="Q66" s="94"/>
      <c r="R66" s="95"/>
      <c r="S66" s="93" t="s">
        <v>41</v>
      </c>
      <c r="T66" s="94"/>
      <c r="U66" s="94"/>
      <c r="V66" s="95"/>
      <c r="W66" s="93" t="s">
        <v>49</v>
      </c>
      <c r="X66" s="94"/>
      <c r="Y66" s="94"/>
      <c r="Z66" s="95"/>
      <c r="AA66" s="88" t="s">
        <v>34</v>
      </c>
    </row>
    <row r="67" spans="1:27" ht="27" x14ac:dyDescent="0.2">
      <c r="A67" s="91"/>
      <c r="B67" s="92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88"/>
    </row>
    <row r="68" spans="1:27" ht="18" x14ac:dyDescent="0.25">
      <c r="A68" s="28">
        <v>1</v>
      </c>
      <c r="B68" s="59" t="s">
        <v>52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0</v>
      </c>
      <c r="M68" s="12">
        <f t="shared" si="75"/>
        <v>0</v>
      </c>
      <c r="N68" s="47">
        <f t="shared" si="75"/>
        <v>0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9</v>
      </c>
    </row>
    <row r="69" spans="1:27" ht="18" x14ac:dyDescent="0.25">
      <c r="A69" s="28">
        <v>2</v>
      </c>
      <c r="B69" s="59" t="s">
        <v>53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0</v>
      </c>
      <c r="M69" s="12">
        <f t="shared" si="76"/>
        <v>0</v>
      </c>
      <c r="N69" s="47">
        <f t="shared" si="76"/>
        <v>0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14</v>
      </c>
    </row>
    <row r="70" spans="1:27" ht="18" x14ac:dyDescent="0.25">
      <c r="A70" s="28">
        <v>3</v>
      </c>
      <c r="B70" s="59" t="s">
        <v>54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0</v>
      </c>
      <c r="M70" s="12">
        <f t="shared" si="77"/>
        <v>0</v>
      </c>
      <c r="N70" s="47">
        <f t="shared" si="77"/>
        <v>0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18</v>
      </c>
    </row>
    <row r="71" spans="1:27" ht="18" x14ac:dyDescent="0.25">
      <c r="A71" s="28">
        <v>4</v>
      </c>
      <c r="B71" s="59" t="s">
        <v>55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0</v>
      </c>
      <c r="M71" s="12">
        <f t="shared" si="78"/>
        <v>0</v>
      </c>
      <c r="N71" s="47">
        <f t="shared" si="78"/>
        <v>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32</v>
      </c>
    </row>
    <row r="72" spans="1:27" ht="18" x14ac:dyDescent="0.25">
      <c r="A72" s="28">
        <v>5</v>
      </c>
      <c r="B72" s="59" t="s">
        <v>56</v>
      </c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57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0</v>
      </c>
      <c r="M73" s="20">
        <f t="shared" si="80"/>
        <v>0</v>
      </c>
      <c r="N73" s="47">
        <f t="shared" si="80"/>
        <v>0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28</v>
      </c>
    </row>
    <row r="74" spans="1:27" ht="18" x14ac:dyDescent="0.25">
      <c r="A74" s="28">
        <v>7</v>
      </c>
      <c r="B74" s="59" t="s">
        <v>58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59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0</v>
      </c>
      <c r="M75" s="43">
        <f t="shared" si="82"/>
        <v>0</v>
      </c>
      <c r="N75" s="48">
        <f t="shared" si="82"/>
        <v>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23</v>
      </c>
    </row>
    <row r="76" spans="1:27" ht="18" x14ac:dyDescent="0.25">
      <c r="A76" s="28">
        <v>9</v>
      </c>
      <c r="B76" s="59" t="s">
        <v>60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61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62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0</v>
      </c>
      <c r="L78" s="12">
        <f t="shared" si="85"/>
        <v>0</v>
      </c>
      <c r="M78" s="12">
        <f t="shared" si="85"/>
        <v>0</v>
      </c>
      <c r="N78" s="47">
        <f t="shared" si="85"/>
        <v>0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54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0</v>
      </c>
      <c r="M79" s="20">
        <f t="shared" si="86"/>
        <v>0</v>
      </c>
      <c r="N79" s="47">
        <f t="shared" si="86"/>
        <v>0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30</v>
      </c>
    </row>
    <row r="80" spans="1:27" ht="18" x14ac:dyDescent="0.25">
      <c r="A80" s="28">
        <v>13</v>
      </c>
      <c r="B80" s="59" t="s">
        <v>63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0</v>
      </c>
      <c r="M80" s="12">
        <f t="shared" si="87"/>
        <v>0</v>
      </c>
      <c r="N80" s="47">
        <f t="shared" si="87"/>
        <v>0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18</v>
      </c>
    </row>
    <row r="81" spans="1:27" ht="18" x14ac:dyDescent="0.25">
      <c r="A81" s="28">
        <v>14</v>
      </c>
      <c r="B81" s="60" t="s">
        <v>64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0</v>
      </c>
      <c r="M81" s="12">
        <f t="shared" si="88"/>
        <v>0</v>
      </c>
      <c r="N81" s="47">
        <f t="shared" si="88"/>
        <v>0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16</v>
      </c>
    </row>
    <row r="82" spans="1:27" ht="18" x14ac:dyDescent="0.25">
      <c r="A82" s="28">
        <v>15</v>
      </c>
      <c r="B82" s="59" t="s">
        <v>65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0</v>
      </c>
      <c r="M82" s="12">
        <f t="shared" si="89"/>
        <v>0</v>
      </c>
      <c r="N82" s="47">
        <f t="shared" si="89"/>
        <v>0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16</v>
      </c>
    </row>
    <row r="83" spans="1:27" ht="18" x14ac:dyDescent="0.25">
      <c r="A83" s="28">
        <v>16</v>
      </c>
      <c r="B83" s="59" t="s">
        <v>66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0</v>
      </c>
      <c r="M83" s="12">
        <f t="shared" si="90"/>
        <v>0</v>
      </c>
      <c r="N83" s="47">
        <f t="shared" si="90"/>
        <v>0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5</v>
      </c>
    </row>
    <row r="84" spans="1:27" ht="18" x14ac:dyDescent="0.25">
      <c r="A84" s="28">
        <v>17</v>
      </c>
      <c r="B84" s="59" t="s">
        <v>67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0</v>
      </c>
      <c r="M84" s="12">
        <f t="shared" si="91"/>
        <v>0</v>
      </c>
      <c r="N84" s="47">
        <f t="shared" si="91"/>
        <v>0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5</v>
      </c>
    </row>
    <row r="85" spans="1:27" ht="18" x14ac:dyDescent="0.25">
      <c r="A85" s="28">
        <v>18</v>
      </c>
      <c r="B85" s="59" t="s">
        <v>68</v>
      </c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69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388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0</v>
      </c>
      <c r="M87" s="12">
        <f t="shared" si="94"/>
        <v>0</v>
      </c>
      <c r="N87" s="47">
        <f t="shared" si="94"/>
        <v>0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25</v>
      </c>
    </row>
    <row r="88" spans="1:27" ht="18" x14ac:dyDescent="0.25">
      <c r="A88" s="28">
        <v>21</v>
      </c>
      <c r="B88" s="59" t="s">
        <v>70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0</v>
      </c>
      <c r="M89" s="12">
        <f t="shared" si="96"/>
        <v>0</v>
      </c>
      <c r="N89" s="47">
        <f t="shared" si="96"/>
        <v>0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13</v>
      </c>
    </row>
    <row r="90" spans="1:27" ht="18" x14ac:dyDescent="0.25">
      <c r="A90" s="28">
        <v>23</v>
      </c>
      <c r="B90" s="59" t="s">
        <v>91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71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0</v>
      </c>
      <c r="J91" s="47">
        <f t="shared" si="98"/>
        <v>20</v>
      </c>
      <c r="K91" s="12">
        <f t="shared" si="98"/>
        <v>0</v>
      </c>
      <c r="L91" s="12">
        <f t="shared" si="98"/>
        <v>0</v>
      </c>
      <c r="M91" s="12">
        <f t="shared" si="98"/>
        <v>0</v>
      </c>
      <c r="N91" s="47">
        <f t="shared" si="98"/>
        <v>0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39</v>
      </c>
    </row>
    <row r="92" spans="1:27" ht="18" x14ac:dyDescent="0.25">
      <c r="A92" s="28">
        <v>25</v>
      </c>
      <c r="B92" s="59" t="s">
        <v>72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0</v>
      </c>
      <c r="M92" s="12">
        <f t="shared" si="99"/>
        <v>0</v>
      </c>
      <c r="N92" s="47">
        <f t="shared" si="99"/>
        <v>0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33</v>
      </c>
    </row>
    <row r="93" spans="1:27" ht="18" x14ac:dyDescent="0.25">
      <c r="A93" s="28">
        <v>26</v>
      </c>
      <c r="B93" s="59" t="s">
        <v>73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0</v>
      </c>
      <c r="M93" s="12">
        <f t="shared" si="100"/>
        <v>0</v>
      </c>
      <c r="N93" s="47">
        <f t="shared" si="100"/>
        <v>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51</v>
      </c>
    </row>
    <row r="94" spans="1:27" ht="18" x14ac:dyDescent="0.25">
      <c r="A94" s="28">
        <v>27</v>
      </c>
      <c r="B94" s="59" t="s">
        <v>373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0</v>
      </c>
      <c r="M94" s="12">
        <f t="shared" si="101"/>
        <v>0</v>
      </c>
      <c r="N94" s="47">
        <f t="shared" si="101"/>
        <v>0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30</v>
      </c>
    </row>
    <row r="95" spans="1:27" ht="18" x14ac:dyDescent="0.25">
      <c r="A95" s="28">
        <v>28</v>
      </c>
      <c r="B95" s="59" t="s">
        <v>74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0</v>
      </c>
      <c r="M95" s="12">
        <f t="shared" si="102"/>
        <v>0</v>
      </c>
      <c r="N95" s="47">
        <f t="shared" si="102"/>
        <v>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8</v>
      </c>
    </row>
    <row r="96" spans="1:27" ht="18" x14ac:dyDescent="0.25">
      <c r="A96" s="28">
        <v>29</v>
      </c>
      <c r="B96" s="59" t="s">
        <v>75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0</v>
      </c>
      <c r="M96" s="12">
        <f t="shared" si="103"/>
        <v>0</v>
      </c>
      <c r="N96" s="47">
        <f t="shared" si="103"/>
        <v>0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34</v>
      </c>
    </row>
    <row r="97" spans="1:27" ht="18" x14ac:dyDescent="0.25">
      <c r="A97" s="28">
        <v>30</v>
      </c>
      <c r="B97" s="59" t="s">
        <v>76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77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0</v>
      </c>
      <c r="M98" s="12">
        <f t="shared" si="105"/>
        <v>0</v>
      </c>
      <c r="N98" s="47">
        <f t="shared" si="105"/>
        <v>0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16</v>
      </c>
    </row>
    <row r="99" spans="1:27" ht="18" x14ac:dyDescent="0.25">
      <c r="A99" s="28">
        <v>32</v>
      </c>
      <c r="B99" s="59" t="s">
        <v>308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0</v>
      </c>
      <c r="M99" s="12">
        <f t="shared" si="106"/>
        <v>0</v>
      </c>
      <c r="N99" s="47">
        <f t="shared" si="106"/>
        <v>0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8</v>
      </c>
    </row>
    <row r="100" spans="1:27" ht="18" x14ac:dyDescent="0.25">
      <c r="A100" s="28">
        <v>33</v>
      </c>
      <c r="B100" s="59" t="s">
        <v>78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0</v>
      </c>
      <c r="M100" s="12">
        <f t="shared" si="107"/>
        <v>0</v>
      </c>
      <c r="N100" s="47">
        <f t="shared" si="107"/>
        <v>0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3</v>
      </c>
    </row>
    <row r="101" spans="1:27" ht="18" x14ac:dyDescent="0.25">
      <c r="A101" s="28">
        <v>34</v>
      </c>
      <c r="B101" s="59" t="s">
        <v>79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0</v>
      </c>
      <c r="I101" s="12">
        <f t="shared" si="108"/>
        <v>0</v>
      </c>
      <c r="J101" s="47">
        <f t="shared" si="108"/>
        <v>0</v>
      </c>
      <c r="K101" s="12">
        <f t="shared" si="108"/>
        <v>0</v>
      </c>
      <c r="L101" s="12">
        <f t="shared" si="108"/>
        <v>0</v>
      </c>
      <c r="M101" s="12">
        <f t="shared" si="108"/>
        <v>0</v>
      </c>
      <c r="N101" s="47">
        <f t="shared" si="108"/>
        <v>0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20</v>
      </c>
    </row>
    <row r="102" spans="1:27" ht="18" x14ac:dyDescent="0.25">
      <c r="A102" s="28">
        <v>35</v>
      </c>
      <c r="B102" s="59" t="s">
        <v>80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0</v>
      </c>
      <c r="I102" s="12">
        <f t="shared" si="109"/>
        <v>0</v>
      </c>
      <c r="J102" s="47">
        <f t="shared" si="109"/>
        <v>0</v>
      </c>
      <c r="K102" s="12">
        <f t="shared" si="109"/>
        <v>0</v>
      </c>
      <c r="L102" s="12">
        <f t="shared" si="109"/>
        <v>0</v>
      </c>
      <c r="M102" s="12">
        <f t="shared" si="109"/>
        <v>0</v>
      </c>
      <c r="N102" s="47">
        <f t="shared" si="109"/>
        <v>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14</v>
      </c>
    </row>
    <row r="103" spans="1:27" ht="18" x14ac:dyDescent="0.25">
      <c r="A103" s="28">
        <v>36</v>
      </c>
      <c r="B103" s="59" t="s">
        <v>346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0</v>
      </c>
      <c r="M103" s="12">
        <f t="shared" si="110"/>
        <v>0</v>
      </c>
      <c r="N103" s="47">
        <f t="shared" si="110"/>
        <v>0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11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0</v>
      </c>
      <c r="M104" s="12">
        <f t="shared" si="111"/>
        <v>0</v>
      </c>
      <c r="N104" s="47">
        <f t="shared" si="111"/>
        <v>0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5</v>
      </c>
    </row>
    <row r="105" spans="1:27" ht="18" x14ac:dyDescent="0.25">
      <c r="A105" s="28">
        <v>38</v>
      </c>
      <c r="B105" s="59" t="s">
        <v>81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0</v>
      </c>
      <c r="L105" s="12">
        <f t="shared" si="112"/>
        <v>0</v>
      </c>
      <c r="M105" s="12">
        <f t="shared" si="112"/>
        <v>0</v>
      </c>
      <c r="N105" s="47">
        <f t="shared" si="112"/>
        <v>0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54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0</v>
      </c>
      <c r="M106" s="12">
        <f t="shared" si="113"/>
        <v>0</v>
      </c>
      <c r="N106" s="47">
        <f t="shared" si="113"/>
        <v>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20</v>
      </c>
    </row>
    <row r="107" spans="1:27" ht="18" x14ac:dyDescent="0.25">
      <c r="A107" s="28">
        <v>40</v>
      </c>
      <c r="B107" s="59" t="s">
        <v>82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0</v>
      </c>
      <c r="I107" s="12">
        <f t="shared" si="114"/>
        <v>0</v>
      </c>
      <c r="J107" s="47">
        <f t="shared" si="114"/>
        <v>0</v>
      </c>
      <c r="K107" s="12">
        <f t="shared" si="114"/>
        <v>0</v>
      </c>
      <c r="L107" s="12">
        <f t="shared" si="114"/>
        <v>0</v>
      </c>
      <c r="M107" s="12">
        <f t="shared" si="114"/>
        <v>0</v>
      </c>
      <c r="N107" s="47">
        <f t="shared" si="114"/>
        <v>0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18</v>
      </c>
    </row>
    <row r="108" spans="1:27" ht="18" x14ac:dyDescent="0.25">
      <c r="A108" s="28">
        <v>41</v>
      </c>
      <c r="B108" s="59" t="s">
        <v>83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84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85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0</v>
      </c>
      <c r="M110" s="12">
        <f t="shared" si="117"/>
        <v>0</v>
      </c>
      <c r="N110" s="47">
        <f t="shared" si="117"/>
        <v>0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32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0</v>
      </c>
      <c r="M111" s="12">
        <f t="shared" si="118"/>
        <v>0</v>
      </c>
      <c r="N111" s="47">
        <f t="shared" si="118"/>
        <v>0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7</v>
      </c>
    </row>
    <row r="112" spans="1:27" ht="18" x14ac:dyDescent="0.25">
      <c r="A112" s="28">
        <v>45</v>
      </c>
      <c r="B112" s="59" t="s">
        <v>86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0</v>
      </c>
      <c r="M112" s="12">
        <f t="shared" si="119"/>
        <v>0</v>
      </c>
      <c r="N112" s="47">
        <f t="shared" si="119"/>
        <v>0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20</v>
      </c>
    </row>
    <row r="113" spans="1:27" ht="18" x14ac:dyDescent="0.25">
      <c r="A113" s="28">
        <v>46</v>
      </c>
      <c r="B113" s="61" t="s">
        <v>95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141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0</v>
      </c>
      <c r="M114" s="12">
        <f t="shared" si="121"/>
        <v>0</v>
      </c>
      <c r="N114" s="47">
        <f t="shared" si="121"/>
        <v>0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16</v>
      </c>
    </row>
    <row r="115" spans="1:27" ht="18" x14ac:dyDescent="0.25">
      <c r="A115" s="28">
        <v>48</v>
      </c>
      <c r="B115" s="59" t="s">
        <v>94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87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0</v>
      </c>
      <c r="L116" s="12">
        <f t="shared" si="123"/>
        <v>0</v>
      </c>
      <c r="M116" s="12">
        <f t="shared" si="123"/>
        <v>0</v>
      </c>
      <c r="N116" s="47">
        <f t="shared" si="123"/>
        <v>0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48</v>
      </c>
    </row>
    <row r="117" spans="1:27" ht="18" x14ac:dyDescent="0.25">
      <c r="A117" s="28">
        <v>50</v>
      </c>
      <c r="B117" s="59" t="s">
        <v>88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0</v>
      </c>
      <c r="M117" s="12">
        <f t="shared" si="124"/>
        <v>0</v>
      </c>
      <c r="N117" s="47">
        <f t="shared" si="124"/>
        <v>0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6</v>
      </c>
    </row>
    <row r="118" spans="1:27" ht="18" x14ac:dyDescent="0.25">
      <c r="A118" s="28">
        <v>51</v>
      </c>
      <c r="B118" s="59" t="s">
        <v>89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0</v>
      </c>
      <c r="M118" s="12">
        <f t="shared" si="125"/>
        <v>0</v>
      </c>
      <c r="N118" s="47">
        <f t="shared" si="125"/>
        <v>0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30</v>
      </c>
    </row>
    <row r="119" spans="1:27" ht="18" x14ac:dyDescent="0.25">
      <c r="A119" s="28">
        <v>52</v>
      </c>
      <c r="B119" s="59" t="s">
        <v>90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0</v>
      </c>
      <c r="M119" s="12">
        <f t="shared" si="126"/>
        <v>0</v>
      </c>
      <c r="N119" s="47">
        <f t="shared" si="126"/>
        <v>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10</v>
      </c>
    </row>
    <row r="120" spans="1:27" ht="18" x14ac:dyDescent="0.25">
      <c r="A120" s="28">
        <v>53</v>
      </c>
      <c r="B120" s="59" t="s">
        <v>413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173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0</v>
      </c>
      <c r="M121" s="12">
        <f t="shared" si="128"/>
        <v>0</v>
      </c>
      <c r="N121" s="47">
        <f t="shared" si="128"/>
        <v>0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26</v>
      </c>
    </row>
    <row r="122" spans="1:27" ht="18" x14ac:dyDescent="0.25">
      <c r="A122" s="28">
        <v>55</v>
      </c>
      <c r="B122" s="59" t="s">
        <v>92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93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0</v>
      </c>
      <c r="M123" s="12">
        <f t="shared" si="130"/>
        <v>0</v>
      </c>
      <c r="N123" s="47">
        <f t="shared" si="130"/>
        <v>0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20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5" workbookViewId="0">
      <selection activeCell="C37" sqref="C37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</cols>
  <sheetData>
    <row r="1" spans="1:9" x14ac:dyDescent="0.2">
      <c r="A1" t="s">
        <v>97</v>
      </c>
      <c r="B1" t="s">
        <v>22</v>
      </c>
      <c r="C1" t="s">
        <v>16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</row>
    <row r="2" spans="1:9" x14ac:dyDescent="0.2">
      <c r="A2">
        <v>1</v>
      </c>
      <c r="B2" t="s">
        <v>79</v>
      </c>
      <c r="C2" t="s">
        <v>104</v>
      </c>
      <c r="D2" t="s">
        <v>105</v>
      </c>
      <c r="E2" t="s">
        <v>106</v>
      </c>
      <c r="F2" t="s">
        <v>107</v>
      </c>
      <c r="G2" t="s">
        <v>44</v>
      </c>
      <c r="H2" t="s">
        <v>108</v>
      </c>
      <c r="I2" t="s">
        <v>109</v>
      </c>
    </row>
    <row r="3" spans="1:9" x14ac:dyDescent="0.2">
      <c r="A3">
        <v>2</v>
      </c>
      <c r="B3" t="s">
        <v>57</v>
      </c>
      <c r="C3" t="s">
        <v>110</v>
      </c>
      <c r="D3" t="s">
        <v>105</v>
      </c>
      <c r="E3" t="s">
        <v>111</v>
      </c>
      <c r="F3" t="s">
        <v>112</v>
      </c>
      <c r="G3" t="s">
        <v>44</v>
      </c>
      <c r="H3" t="s">
        <v>113</v>
      </c>
      <c r="I3" t="s">
        <v>114</v>
      </c>
    </row>
    <row r="4" spans="1:9" x14ac:dyDescent="0.2">
      <c r="A4">
        <v>3</v>
      </c>
      <c r="B4" t="s">
        <v>115</v>
      </c>
      <c r="C4" t="s">
        <v>116</v>
      </c>
      <c r="D4" t="s">
        <v>105</v>
      </c>
      <c r="E4" t="s">
        <v>117</v>
      </c>
      <c r="F4" t="s">
        <v>118</v>
      </c>
      <c r="G4" t="s">
        <v>44</v>
      </c>
      <c r="H4" t="s">
        <v>119</v>
      </c>
      <c r="I4" t="s">
        <v>120</v>
      </c>
    </row>
    <row r="5" spans="1:9" x14ac:dyDescent="0.2">
      <c r="A5">
        <v>4</v>
      </c>
      <c r="B5" t="s">
        <v>84</v>
      </c>
      <c r="C5" t="s">
        <v>121</v>
      </c>
      <c r="D5" t="s">
        <v>105</v>
      </c>
      <c r="E5" t="s">
        <v>106</v>
      </c>
      <c r="F5" t="s">
        <v>123</v>
      </c>
      <c r="G5" t="s">
        <v>44</v>
      </c>
      <c r="H5" t="s">
        <v>124</v>
      </c>
      <c r="I5" t="s">
        <v>125</v>
      </c>
    </row>
    <row r="6" spans="1:9" x14ac:dyDescent="0.2">
      <c r="A6">
        <v>5</v>
      </c>
      <c r="B6" t="s">
        <v>82</v>
      </c>
      <c r="C6" t="s">
        <v>82</v>
      </c>
      <c r="D6" t="s">
        <v>105</v>
      </c>
      <c r="E6" t="s">
        <v>117</v>
      </c>
      <c r="F6" t="s">
        <v>126</v>
      </c>
      <c r="G6" t="s">
        <v>44</v>
      </c>
      <c r="H6" t="s">
        <v>127</v>
      </c>
      <c r="I6" t="s">
        <v>128</v>
      </c>
    </row>
    <row r="7" spans="1:9" x14ac:dyDescent="0.2">
      <c r="A7">
        <v>6</v>
      </c>
      <c r="B7" t="s">
        <v>32</v>
      </c>
      <c r="C7" t="s">
        <v>32</v>
      </c>
      <c r="D7" t="s">
        <v>105</v>
      </c>
      <c r="E7" t="s">
        <v>117</v>
      </c>
      <c r="F7" t="s">
        <v>129</v>
      </c>
      <c r="G7" t="s">
        <v>44</v>
      </c>
      <c r="H7" t="s">
        <v>130</v>
      </c>
      <c r="I7" t="s">
        <v>131</v>
      </c>
    </row>
    <row r="8" spans="1:9" x14ac:dyDescent="0.2">
      <c r="A8">
        <v>7</v>
      </c>
      <c r="B8" t="s">
        <v>36</v>
      </c>
      <c r="C8" t="s">
        <v>36</v>
      </c>
      <c r="D8" t="s">
        <v>105</v>
      </c>
      <c r="E8" t="s">
        <v>133</v>
      </c>
      <c r="F8" t="s">
        <v>134</v>
      </c>
      <c r="G8" t="s">
        <v>44</v>
      </c>
      <c r="H8" t="s">
        <v>135</v>
      </c>
      <c r="I8" t="s">
        <v>136</v>
      </c>
    </row>
    <row r="9" spans="1:9" x14ac:dyDescent="0.2">
      <c r="A9">
        <v>8</v>
      </c>
      <c r="B9" t="s">
        <v>43</v>
      </c>
      <c r="C9" t="s">
        <v>137</v>
      </c>
      <c r="D9" t="s">
        <v>105</v>
      </c>
      <c r="E9" t="s">
        <v>117</v>
      </c>
      <c r="F9" t="s">
        <v>138</v>
      </c>
      <c r="G9" t="s">
        <v>44</v>
      </c>
      <c r="H9" t="s">
        <v>139</v>
      </c>
      <c r="I9" t="s">
        <v>140</v>
      </c>
    </row>
    <row r="10" spans="1:9" x14ac:dyDescent="0.2">
      <c r="A10">
        <v>9</v>
      </c>
      <c r="B10" t="s">
        <v>141</v>
      </c>
      <c r="C10" t="s">
        <v>142</v>
      </c>
      <c r="D10" t="s">
        <v>105</v>
      </c>
      <c r="E10" t="s">
        <v>144</v>
      </c>
      <c r="F10" t="s">
        <v>145</v>
      </c>
      <c r="G10" t="s">
        <v>44</v>
      </c>
      <c r="H10" t="s">
        <v>146</v>
      </c>
      <c r="I10" t="s">
        <v>147</v>
      </c>
    </row>
    <row r="11" spans="1:9" x14ac:dyDescent="0.2">
      <c r="A11">
        <v>10</v>
      </c>
      <c r="B11" t="s">
        <v>148</v>
      </c>
      <c r="C11" t="s">
        <v>149</v>
      </c>
      <c r="D11" t="s">
        <v>105</v>
      </c>
      <c r="E11" t="s">
        <v>117</v>
      </c>
      <c r="F11" t="s">
        <v>150</v>
      </c>
      <c r="G11" t="s">
        <v>44</v>
      </c>
      <c r="H11" t="s">
        <v>151</v>
      </c>
      <c r="I11" t="s">
        <v>152</v>
      </c>
    </row>
    <row r="12" spans="1:9" x14ac:dyDescent="0.2">
      <c r="A12">
        <v>11</v>
      </c>
      <c r="B12" t="s">
        <v>85</v>
      </c>
      <c r="C12" t="s">
        <v>397</v>
      </c>
      <c r="D12" t="s">
        <v>105</v>
      </c>
      <c r="E12" t="s">
        <v>117</v>
      </c>
      <c r="F12" t="s">
        <v>154</v>
      </c>
      <c r="G12" t="s">
        <v>44</v>
      </c>
      <c r="H12" t="s">
        <v>155</v>
      </c>
      <c r="I12" t="s">
        <v>156</v>
      </c>
    </row>
    <row r="13" spans="1:9" x14ac:dyDescent="0.2">
      <c r="A13">
        <v>12</v>
      </c>
      <c r="B13" t="s">
        <v>64</v>
      </c>
      <c r="C13" t="s">
        <v>157</v>
      </c>
      <c r="D13" t="s">
        <v>158</v>
      </c>
      <c r="E13" t="s">
        <v>159</v>
      </c>
      <c r="F13" t="s">
        <v>160</v>
      </c>
      <c r="G13" t="s">
        <v>44</v>
      </c>
      <c r="H13" t="s">
        <v>161</v>
      </c>
      <c r="I13" t="s">
        <v>162</v>
      </c>
    </row>
    <row r="14" spans="1:9" x14ac:dyDescent="0.2">
      <c r="A14">
        <v>13</v>
      </c>
      <c r="B14" t="s">
        <v>54</v>
      </c>
      <c r="C14" t="s">
        <v>163</v>
      </c>
      <c r="D14" t="s">
        <v>122</v>
      </c>
      <c r="E14" t="s">
        <v>164</v>
      </c>
      <c r="F14" t="s">
        <v>165</v>
      </c>
      <c r="G14" t="s">
        <v>44</v>
      </c>
      <c r="H14" t="s">
        <v>166</v>
      </c>
      <c r="I14" t="s">
        <v>167</v>
      </c>
    </row>
    <row r="15" spans="1:9" x14ac:dyDescent="0.2">
      <c r="A15">
        <v>14</v>
      </c>
      <c r="B15" t="s">
        <v>75</v>
      </c>
      <c r="C15" t="s">
        <v>168</v>
      </c>
      <c r="D15" t="s">
        <v>105</v>
      </c>
      <c r="E15" t="s">
        <v>169</v>
      </c>
      <c r="F15" t="s">
        <v>170</v>
      </c>
      <c r="G15" t="s">
        <v>44</v>
      </c>
      <c r="H15" t="s">
        <v>171</v>
      </c>
      <c r="I15" t="s">
        <v>172</v>
      </c>
    </row>
    <row r="16" spans="1:9" x14ac:dyDescent="0.2">
      <c r="A16">
        <v>15</v>
      </c>
      <c r="B16" t="s">
        <v>173</v>
      </c>
      <c r="C16" t="s">
        <v>174</v>
      </c>
      <c r="D16" t="s">
        <v>175</v>
      </c>
      <c r="E16" t="s">
        <v>106</v>
      </c>
      <c r="F16" t="s">
        <v>176</v>
      </c>
      <c r="G16" t="s">
        <v>44</v>
      </c>
      <c r="H16" t="s">
        <v>177</v>
      </c>
      <c r="I16" t="s">
        <v>178</v>
      </c>
    </row>
    <row r="17" spans="1:15" x14ac:dyDescent="0.2">
      <c r="A17">
        <v>16</v>
      </c>
      <c r="B17" t="s">
        <v>179</v>
      </c>
      <c r="C17" t="s">
        <v>180</v>
      </c>
      <c r="D17" t="s">
        <v>105</v>
      </c>
      <c r="E17" t="s">
        <v>106</v>
      </c>
      <c r="F17" t="s">
        <v>181</v>
      </c>
      <c r="G17" t="s">
        <v>44</v>
      </c>
      <c r="H17" t="s">
        <v>182</v>
      </c>
      <c r="I17" t="s">
        <v>183</v>
      </c>
    </row>
    <row r="18" spans="1:15" x14ac:dyDescent="0.2">
      <c r="A18">
        <v>17</v>
      </c>
      <c r="B18" t="s">
        <v>33</v>
      </c>
      <c r="C18" t="s">
        <v>33</v>
      </c>
      <c r="D18" t="s">
        <v>122</v>
      </c>
      <c r="E18" t="s">
        <v>184</v>
      </c>
      <c r="F18" t="s">
        <v>185</v>
      </c>
      <c r="G18" t="s">
        <v>44</v>
      </c>
      <c r="H18" t="s">
        <v>186</v>
      </c>
      <c r="I18" t="s">
        <v>187</v>
      </c>
    </row>
    <row r="19" spans="1:15" x14ac:dyDescent="0.2">
      <c r="A19">
        <v>18</v>
      </c>
      <c r="B19" t="s">
        <v>59</v>
      </c>
      <c r="C19" t="s">
        <v>188</v>
      </c>
      <c r="D19" t="s">
        <v>105</v>
      </c>
      <c r="E19" t="s">
        <v>164</v>
      </c>
      <c r="F19" t="s">
        <v>189</v>
      </c>
      <c r="G19" t="s">
        <v>44</v>
      </c>
      <c r="H19" t="s">
        <v>190</v>
      </c>
      <c r="I19" t="s">
        <v>191</v>
      </c>
    </row>
    <row r="20" spans="1:15" x14ac:dyDescent="0.2">
      <c r="A20">
        <v>19</v>
      </c>
      <c r="B20" t="s">
        <v>63</v>
      </c>
      <c r="C20" t="s">
        <v>63</v>
      </c>
      <c r="D20" t="s">
        <v>105</v>
      </c>
      <c r="E20" t="s">
        <v>192</v>
      </c>
      <c r="F20" t="s">
        <v>193</v>
      </c>
      <c r="G20" t="s">
        <v>44</v>
      </c>
      <c r="H20" t="s">
        <v>194</v>
      </c>
      <c r="I20" t="s">
        <v>195</v>
      </c>
    </row>
    <row r="21" spans="1:15" x14ac:dyDescent="0.2">
      <c r="A21">
        <v>20</v>
      </c>
      <c r="B21" t="s">
        <v>68</v>
      </c>
      <c r="C21" t="s">
        <v>196</v>
      </c>
      <c r="D21" t="s">
        <v>122</v>
      </c>
      <c r="E21" t="s">
        <v>197</v>
      </c>
      <c r="F21" t="s">
        <v>198</v>
      </c>
      <c r="G21" t="s">
        <v>44</v>
      </c>
      <c r="H21" t="s">
        <v>199</v>
      </c>
      <c r="I21" t="s">
        <v>200</v>
      </c>
    </row>
    <row r="22" spans="1:15" x14ac:dyDescent="0.2">
      <c r="A22">
        <v>21</v>
      </c>
      <c r="B22" t="s">
        <v>52</v>
      </c>
      <c r="C22" t="s">
        <v>201</v>
      </c>
      <c r="D22" t="s">
        <v>105</v>
      </c>
      <c r="E22" t="s">
        <v>202</v>
      </c>
      <c r="F22" t="s">
        <v>203</v>
      </c>
      <c r="G22" t="s">
        <v>44</v>
      </c>
      <c r="H22" t="s">
        <v>204</v>
      </c>
      <c r="I22" t="s">
        <v>205</v>
      </c>
    </row>
    <row r="23" spans="1:15" x14ac:dyDescent="0.2">
      <c r="A23">
        <v>22</v>
      </c>
      <c r="B23" t="s">
        <v>395</v>
      </c>
      <c r="C23" t="s">
        <v>206</v>
      </c>
      <c r="D23" t="s">
        <v>105</v>
      </c>
      <c r="E23" t="s">
        <v>106</v>
      </c>
      <c r="F23" t="s">
        <v>207</v>
      </c>
      <c r="G23" t="s">
        <v>44</v>
      </c>
      <c r="H23" t="s">
        <v>208</v>
      </c>
      <c r="I23" t="s">
        <v>209</v>
      </c>
    </row>
    <row r="24" spans="1:15" x14ac:dyDescent="0.2">
      <c r="A24">
        <v>23</v>
      </c>
      <c r="B24" t="s">
        <v>76</v>
      </c>
      <c r="C24" t="s">
        <v>210</v>
      </c>
      <c r="D24" t="s">
        <v>122</v>
      </c>
      <c r="E24" t="s">
        <v>106</v>
      </c>
      <c r="F24" t="s">
        <v>211</v>
      </c>
      <c r="G24" t="s">
        <v>44</v>
      </c>
      <c r="H24" t="s">
        <v>212</v>
      </c>
      <c r="I24" t="s">
        <v>213</v>
      </c>
    </row>
    <row r="25" spans="1:15" x14ac:dyDescent="0.2">
      <c r="A25">
        <v>24</v>
      </c>
      <c r="B25" t="s">
        <v>214</v>
      </c>
      <c r="C25" t="s">
        <v>215</v>
      </c>
      <c r="D25" t="s">
        <v>216</v>
      </c>
      <c r="E25" t="s">
        <v>217</v>
      </c>
      <c r="F25" t="s">
        <v>218</v>
      </c>
      <c r="G25" t="s">
        <v>44</v>
      </c>
      <c r="H25" t="s">
        <v>219</v>
      </c>
      <c r="I25" t="s">
        <v>220</v>
      </c>
      <c r="O25" t="s">
        <v>206</v>
      </c>
    </row>
    <row r="26" spans="1:15" x14ac:dyDescent="0.2">
      <c r="A26">
        <v>25</v>
      </c>
      <c r="B26" t="s">
        <v>90</v>
      </c>
      <c r="C26" t="s">
        <v>90</v>
      </c>
      <c r="D26" t="s">
        <v>105</v>
      </c>
      <c r="E26" t="s">
        <v>221</v>
      </c>
      <c r="F26" t="s">
        <v>222</v>
      </c>
      <c r="G26" t="s">
        <v>44</v>
      </c>
      <c r="H26" t="s">
        <v>223</v>
      </c>
      <c r="I26" t="s">
        <v>224</v>
      </c>
    </row>
    <row r="27" spans="1:15" x14ac:dyDescent="0.2">
      <c r="A27">
        <v>26</v>
      </c>
      <c r="B27" t="s">
        <v>77</v>
      </c>
      <c r="C27" t="s">
        <v>225</v>
      </c>
      <c r="D27" t="s">
        <v>226</v>
      </c>
      <c r="E27" t="s">
        <v>117</v>
      </c>
      <c r="F27" t="s">
        <v>227</v>
      </c>
      <c r="G27" t="s">
        <v>44</v>
      </c>
      <c r="H27" t="s">
        <v>228</v>
      </c>
      <c r="I27" t="s">
        <v>229</v>
      </c>
    </row>
    <row r="28" spans="1:15" x14ac:dyDescent="0.2">
      <c r="A28">
        <v>27</v>
      </c>
      <c r="B28" t="s">
        <v>230</v>
      </c>
      <c r="C28" t="s">
        <v>231</v>
      </c>
      <c r="D28" t="s">
        <v>105</v>
      </c>
      <c r="E28" t="s">
        <v>111</v>
      </c>
      <c r="F28" t="s">
        <v>232</v>
      </c>
      <c r="G28" t="s">
        <v>44</v>
      </c>
      <c r="H28" t="s">
        <v>233</v>
      </c>
      <c r="I28" t="s">
        <v>234</v>
      </c>
    </row>
    <row r="29" spans="1:15" x14ac:dyDescent="0.2">
      <c r="A29">
        <v>28</v>
      </c>
      <c r="B29" t="s">
        <v>56</v>
      </c>
      <c r="C29" t="s">
        <v>235</v>
      </c>
      <c r="D29" t="s">
        <v>105</v>
      </c>
      <c r="E29" t="s">
        <v>236</v>
      </c>
      <c r="F29" t="s">
        <v>237</v>
      </c>
      <c r="G29" t="s">
        <v>44</v>
      </c>
      <c r="H29" t="s">
        <v>238</v>
      </c>
      <c r="I29" t="s">
        <v>239</v>
      </c>
    </row>
    <row r="30" spans="1:15" x14ac:dyDescent="0.2">
      <c r="A30">
        <v>29</v>
      </c>
      <c r="B30" t="s">
        <v>89</v>
      </c>
      <c r="C30" t="s">
        <v>240</v>
      </c>
      <c r="D30" t="s">
        <v>226</v>
      </c>
      <c r="E30" t="s">
        <v>241</v>
      </c>
      <c r="F30" t="s">
        <v>242</v>
      </c>
      <c r="G30" t="s">
        <v>44</v>
      </c>
      <c r="H30" t="s">
        <v>243</v>
      </c>
      <c r="I30" t="s">
        <v>244</v>
      </c>
    </row>
    <row r="31" spans="1:15" x14ac:dyDescent="0.2">
      <c r="A31">
        <v>30</v>
      </c>
      <c r="B31" t="s">
        <v>80</v>
      </c>
      <c r="C31" t="s">
        <v>245</v>
      </c>
      <c r="D31" t="s">
        <v>246</v>
      </c>
      <c r="E31" t="s">
        <v>247</v>
      </c>
      <c r="F31" t="s">
        <v>248</v>
      </c>
      <c r="G31" t="s">
        <v>44</v>
      </c>
      <c r="H31" t="s">
        <v>249</v>
      </c>
      <c r="I31" t="s">
        <v>250</v>
      </c>
    </row>
    <row r="32" spans="1:15" x14ac:dyDescent="0.2">
      <c r="A32">
        <v>31</v>
      </c>
      <c r="B32" t="s">
        <v>251</v>
      </c>
      <c r="C32" t="s">
        <v>252</v>
      </c>
      <c r="D32" t="s">
        <v>253</v>
      </c>
      <c r="E32" t="s">
        <v>164</v>
      </c>
      <c r="F32" t="s">
        <v>254</v>
      </c>
      <c r="G32" t="s">
        <v>44</v>
      </c>
      <c r="H32" t="s">
        <v>255</v>
      </c>
      <c r="I32" t="s">
        <v>256</v>
      </c>
    </row>
    <row r="33" spans="1:9" x14ac:dyDescent="0.2">
      <c r="A33">
        <v>32</v>
      </c>
      <c r="B33" t="s">
        <v>72</v>
      </c>
      <c r="C33" t="s">
        <v>408</v>
      </c>
      <c r="D33" t="s">
        <v>105</v>
      </c>
      <c r="E33" t="s">
        <v>258</v>
      </c>
      <c r="F33" t="s">
        <v>259</v>
      </c>
      <c r="G33" t="s">
        <v>44</v>
      </c>
      <c r="H33" t="s">
        <v>260</v>
      </c>
      <c r="I33" t="s">
        <v>261</v>
      </c>
    </row>
    <row r="34" spans="1:9" x14ac:dyDescent="0.2">
      <c r="A34">
        <v>33</v>
      </c>
      <c r="B34" t="s">
        <v>81</v>
      </c>
      <c r="C34" t="s">
        <v>262</v>
      </c>
      <c r="D34" t="s">
        <v>263</v>
      </c>
      <c r="E34" t="s">
        <v>144</v>
      </c>
      <c r="F34" t="s">
        <v>264</v>
      </c>
      <c r="G34" t="s">
        <v>44</v>
      </c>
      <c r="H34" t="s">
        <v>265</v>
      </c>
      <c r="I34" t="s">
        <v>266</v>
      </c>
    </row>
    <row r="35" spans="1:9" x14ac:dyDescent="0.2">
      <c r="A35">
        <v>34</v>
      </c>
      <c r="B35" t="s">
        <v>65</v>
      </c>
      <c r="C35" t="s">
        <v>65</v>
      </c>
      <c r="D35" t="s">
        <v>267</v>
      </c>
      <c r="E35" t="s">
        <v>258</v>
      </c>
      <c r="F35" t="s">
        <v>268</v>
      </c>
      <c r="G35" t="s">
        <v>44</v>
      </c>
      <c r="H35" t="s">
        <v>269</v>
      </c>
      <c r="I35" t="s">
        <v>270</v>
      </c>
    </row>
    <row r="36" spans="1:9" x14ac:dyDescent="0.2">
      <c r="A36">
        <v>35</v>
      </c>
      <c r="B36" t="s">
        <v>60</v>
      </c>
      <c r="C36" t="s">
        <v>60</v>
      </c>
      <c r="D36" t="s">
        <v>105</v>
      </c>
      <c r="E36" t="s">
        <v>272</v>
      </c>
      <c r="F36" t="s">
        <v>273</v>
      </c>
      <c r="G36" t="s">
        <v>44</v>
      </c>
      <c r="H36" t="s">
        <v>274</v>
      </c>
      <c r="I36" t="s">
        <v>275</v>
      </c>
    </row>
    <row r="37" spans="1:9" x14ac:dyDescent="0.2">
      <c r="A37">
        <v>36</v>
      </c>
      <c r="B37" t="s">
        <v>38</v>
      </c>
      <c r="C37" t="s">
        <v>276</v>
      </c>
      <c r="D37" t="s">
        <v>105</v>
      </c>
      <c r="E37" t="s">
        <v>272</v>
      </c>
      <c r="F37" t="s">
        <v>277</v>
      </c>
      <c r="G37" t="s">
        <v>44</v>
      </c>
      <c r="H37" t="s">
        <v>278</v>
      </c>
      <c r="I37" t="s">
        <v>279</v>
      </c>
    </row>
    <row r="38" spans="1:9" x14ac:dyDescent="0.2">
      <c r="A38">
        <v>37</v>
      </c>
      <c r="B38" t="s">
        <v>62</v>
      </c>
      <c r="C38" t="s">
        <v>62</v>
      </c>
      <c r="D38" t="s">
        <v>280</v>
      </c>
      <c r="E38" t="s">
        <v>144</v>
      </c>
      <c r="F38" t="s">
        <v>281</v>
      </c>
      <c r="G38" t="s">
        <v>44</v>
      </c>
      <c r="H38" t="s">
        <v>282</v>
      </c>
      <c r="I38" t="s">
        <v>283</v>
      </c>
    </row>
    <row r="39" spans="1:9" x14ac:dyDescent="0.2">
      <c r="A39">
        <v>38</v>
      </c>
      <c r="B39" t="s">
        <v>70</v>
      </c>
      <c r="C39" t="s">
        <v>284</v>
      </c>
      <c r="D39" t="s">
        <v>105</v>
      </c>
      <c r="E39" t="s">
        <v>285</v>
      </c>
      <c r="F39" t="s">
        <v>286</v>
      </c>
      <c r="G39" t="s">
        <v>44</v>
      </c>
      <c r="H39" t="s">
        <v>287</v>
      </c>
      <c r="I39" t="s">
        <v>288</v>
      </c>
    </row>
    <row r="40" spans="1:9" x14ac:dyDescent="0.2">
      <c r="A40">
        <v>39</v>
      </c>
      <c r="B40" t="s">
        <v>66</v>
      </c>
      <c r="C40" t="s">
        <v>289</v>
      </c>
      <c r="D40" t="s">
        <v>105</v>
      </c>
      <c r="E40" t="s">
        <v>290</v>
      </c>
      <c r="F40" t="s">
        <v>291</v>
      </c>
      <c r="G40" t="s">
        <v>44</v>
      </c>
      <c r="H40" t="s">
        <v>292</v>
      </c>
      <c r="I40" t="s">
        <v>293</v>
      </c>
    </row>
    <row r="41" spans="1:9" x14ac:dyDescent="0.2">
      <c r="A41">
        <v>40</v>
      </c>
      <c r="B41" t="s">
        <v>86</v>
      </c>
      <c r="C41" t="s">
        <v>294</v>
      </c>
      <c r="D41" t="s">
        <v>295</v>
      </c>
      <c r="E41" t="s">
        <v>144</v>
      </c>
      <c r="F41" t="s">
        <v>296</v>
      </c>
      <c r="G41" t="s">
        <v>44</v>
      </c>
      <c r="H41" t="s">
        <v>297</v>
      </c>
      <c r="I41" t="s">
        <v>298</v>
      </c>
    </row>
    <row r="42" spans="1:9" x14ac:dyDescent="0.2">
      <c r="A42">
        <v>41</v>
      </c>
      <c r="B42" t="s">
        <v>299</v>
      </c>
      <c r="C42" t="s">
        <v>299</v>
      </c>
      <c r="D42" t="s">
        <v>158</v>
      </c>
      <c r="E42" t="s">
        <v>221</v>
      </c>
      <c r="F42" t="s">
        <v>300</v>
      </c>
      <c r="G42" t="s">
        <v>44</v>
      </c>
      <c r="H42" t="s">
        <v>301</v>
      </c>
      <c r="I42" t="s">
        <v>302</v>
      </c>
    </row>
    <row r="43" spans="1:9" x14ac:dyDescent="0.2">
      <c r="A43">
        <v>42</v>
      </c>
      <c r="B43" t="s">
        <v>58</v>
      </c>
      <c r="C43" t="s">
        <v>303</v>
      </c>
      <c r="D43" t="s">
        <v>304</v>
      </c>
      <c r="E43" t="s">
        <v>106</v>
      </c>
      <c r="F43" t="s">
        <v>305</v>
      </c>
      <c r="G43" t="s">
        <v>44</v>
      </c>
      <c r="H43" t="s">
        <v>306</v>
      </c>
      <c r="I43" t="s">
        <v>307</v>
      </c>
    </row>
    <row r="44" spans="1:9" x14ac:dyDescent="0.2">
      <c r="A44">
        <v>43</v>
      </c>
      <c r="B44" t="s">
        <v>308</v>
      </c>
      <c r="C44" t="s">
        <v>309</v>
      </c>
      <c r="D44" t="s">
        <v>158</v>
      </c>
      <c r="E44" t="s">
        <v>197</v>
      </c>
      <c r="F44" t="s">
        <v>310</v>
      </c>
      <c r="G44" t="s">
        <v>44</v>
      </c>
      <c r="H44" t="s">
        <v>311</v>
      </c>
      <c r="I44" t="s">
        <v>312</v>
      </c>
    </row>
    <row r="45" spans="1:9" x14ac:dyDescent="0.2">
      <c r="A45">
        <v>44</v>
      </c>
      <c r="B45" t="s">
        <v>91</v>
      </c>
      <c r="C45" t="s">
        <v>313</v>
      </c>
      <c r="D45" t="s">
        <v>122</v>
      </c>
      <c r="E45" t="s">
        <v>184</v>
      </c>
      <c r="F45" t="s">
        <v>314</v>
      </c>
      <c r="G45" t="s">
        <v>44</v>
      </c>
      <c r="H45" t="s">
        <v>315</v>
      </c>
      <c r="I45" t="s">
        <v>316</v>
      </c>
    </row>
    <row r="46" spans="1:9" x14ac:dyDescent="0.2">
      <c r="A46">
        <v>45</v>
      </c>
      <c r="B46" t="s">
        <v>74</v>
      </c>
      <c r="C46" t="s">
        <v>317</v>
      </c>
      <c r="D46" t="s">
        <v>105</v>
      </c>
      <c r="E46" t="s">
        <v>285</v>
      </c>
      <c r="F46" t="s">
        <v>318</v>
      </c>
      <c r="G46" t="s">
        <v>44</v>
      </c>
      <c r="H46" t="s">
        <v>319</v>
      </c>
      <c r="I46" t="s">
        <v>320</v>
      </c>
    </row>
    <row r="47" spans="1:9" x14ac:dyDescent="0.2">
      <c r="A47">
        <v>46</v>
      </c>
      <c r="B47" t="s">
        <v>88</v>
      </c>
      <c r="C47" t="s">
        <v>321</v>
      </c>
      <c r="D47" t="s">
        <v>322</v>
      </c>
      <c r="E47" t="s">
        <v>106</v>
      </c>
      <c r="F47" t="s">
        <v>323</v>
      </c>
      <c r="G47" t="s">
        <v>44</v>
      </c>
      <c r="H47" t="s">
        <v>324</v>
      </c>
      <c r="I47" t="s">
        <v>325</v>
      </c>
    </row>
    <row r="48" spans="1:9" x14ac:dyDescent="0.2">
      <c r="A48">
        <v>47</v>
      </c>
      <c r="B48" t="s">
        <v>93</v>
      </c>
      <c r="C48" t="s">
        <v>37</v>
      </c>
      <c r="D48" t="s">
        <v>143</v>
      </c>
      <c r="E48" t="s">
        <v>117</v>
      </c>
      <c r="F48" t="s">
        <v>326</v>
      </c>
      <c r="G48" t="s">
        <v>44</v>
      </c>
      <c r="H48" t="s">
        <v>327</v>
      </c>
      <c r="I48" t="s">
        <v>328</v>
      </c>
    </row>
    <row r="49" spans="1:9" x14ac:dyDescent="0.2">
      <c r="A49">
        <v>48</v>
      </c>
      <c r="B49" t="s">
        <v>71</v>
      </c>
      <c r="C49" t="s">
        <v>329</v>
      </c>
      <c r="D49" t="s">
        <v>330</v>
      </c>
      <c r="E49" t="s">
        <v>331</v>
      </c>
      <c r="F49" t="s">
        <v>332</v>
      </c>
      <c r="G49" t="s">
        <v>44</v>
      </c>
      <c r="H49" t="s">
        <v>333</v>
      </c>
      <c r="I49" t="s">
        <v>334</v>
      </c>
    </row>
    <row r="50" spans="1:9" x14ac:dyDescent="0.2">
      <c r="A50">
        <v>49</v>
      </c>
      <c r="B50" t="s">
        <v>92</v>
      </c>
      <c r="C50" t="s">
        <v>335</v>
      </c>
      <c r="D50" t="s">
        <v>336</v>
      </c>
      <c r="E50" t="s">
        <v>106</v>
      </c>
      <c r="F50" t="s">
        <v>337</v>
      </c>
      <c r="G50" t="s">
        <v>44</v>
      </c>
      <c r="H50" t="s">
        <v>338</v>
      </c>
      <c r="I50" t="s">
        <v>339</v>
      </c>
    </row>
    <row r="51" spans="1:9" x14ac:dyDescent="0.2">
      <c r="A51">
        <v>50</v>
      </c>
      <c r="B51" t="s">
        <v>340</v>
      </c>
      <c r="C51" t="s">
        <v>340</v>
      </c>
      <c r="D51" t="s">
        <v>341</v>
      </c>
      <c r="E51" t="s">
        <v>342</v>
      </c>
      <c r="F51" t="s">
        <v>343</v>
      </c>
      <c r="G51" t="s">
        <v>44</v>
      </c>
      <c r="H51" t="s">
        <v>344</v>
      </c>
      <c r="I51" t="s">
        <v>345</v>
      </c>
    </row>
    <row r="52" spans="1:9" x14ac:dyDescent="0.2">
      <c r="A52">
        <v>51</v>
      </c>
      <c r="B52" t="s">
        <v>346</v>
      </c>
      <c r="C52" t="s">
        <v>347</v>
      </c>
      <c r="D52" t="s">
        <v>348</v>
      </c>
      <c r="E52" t="s">
        <v>349</v>
      </c>
      <c r="F52" t="s">
        <v>350</v>
      </c>
      <c r="G52" t="s">
        <v>44</v>
      </c>
      <c r="H52" t="s">
        <v>351</v>
      </c>
      <c r="I52" t="s">
        <v>352</v>
      </c>
    </row>
    <row r="53" spans="1:9" x14ac:dyDescent="0.2">
      <c r="A53">
        <v>52</v>
      </c>
      <c r="B53" t="s">
        <v>390</v>
      </c>
      <c r="C53" t="s">
        <v>353</v>
      </c>
      <c r="D53" t="s">
        <v>105</v>
      </c>
      <c r="E53" t="s">
        <v>117</v>
      </c>
      <c r="F53" t="s">
        <v>354</v>
      </c>
      <c r="G53" t="s">
        <v>44</v>
      </c>
      <c r="H53" t="s">
        <v>355</v>
      </c>
      <c r="I53" t="s">
        <v>356</v>
      </c>
    </row>
    <row r="54" spans="1:9" x14ac:dyDescent="0.2">
      <c r="A54">
        <v>53</v>
      </c>
      <c r="B54" t="s">
        <v>78</v>
      </c>
      <c r="C54" t="s">
        <v>357</v>
      </c>
      <c r="D54" t="s">
        <v>132</v>
      </c>
      <c r="E54" t="s">
        <v>358</v>
      </c>
      <c r="F54" t="s">
        <v>359</v>
      </c>
      <c r="G54" t="s">
        <v>44</v>
      </c>
      <c r="H54" t="s">
        <v>360</v>
      </c>
      <c r="I54" t="s">
        <v>361</v>
      </c>
    </row>
    <row r="55" spans="1:9" x14ac:dyDescent="0.2">
      <c r="A55">
        <v>54</v>
      </c>
      <c r="B55" t="s">
        <v>391</v>
      </c>
      <c r="C55" t="s">
        <v>362</v>
      </c>
      <c r="D55" t="s">
        <v>363</v>
      </c>
      <c r="E55" t="s">
        <v>331</v>
      </c>
      <c r="F55" t="s">
        <v>364</v>
      </c>
      <c r="G55" t="s">
        <v>44</v>
      </c>
      <c r="H55" t="s">
        <v>365</v>
      </c>
      <c r="I55" t="s">
        <v>366</v>
      </c>
    </row>
    <row r="56" spans="1:9" x14ac:dyDescent="0.2">
      <c r="A56">
        <v>55</v>
      </c>
      <c r="B56" t="s">
        <v>55</v>
      </c>
      <c r="C56" t="s">
        <v>367</v>
      </c>
      <c r="D56" t="s">
        <v>368</v>
      </c>
      <c r="E56" t="s">
        <v>369</v>
      </c>
      <c r="F56" t="s">
        <v>370</v>
      </c>
      <c r="G56" t="s">
        <v>44</v>
      </c>
      <c r="H56" t="s">
        <v>371</v>
      </c>
      <c r="I56" t="s">
        <v>372</v>
      </c>
    </row>
    <row r="57" spans="1:9" x14ac:dyDescent="0.2">
      <c r="A57">
        <v>56</v>
      </c>
      <c r="B57" t="s">
        <v>373</v>
      </c>
      <c r="C57" t="s">
        <v>374</v>
      </c>
      <c r="D57" t="s">
        <v>375</v>
      </c>
      <c r="E57" t="s">
        <v>376</v>
      </c>
      <c r="F57" t="s">
        <v>377</v>
      </c>
      <c r="G57" t="s">
        <v>44</v>
      </c>
      <c r="H57" t="s">
        <v>378</v>
      </c>
      <c r="I57" t="s">
        <v>379</v>
      </c>
    </row>
    <row r="58" spans="1:9" x14ac:dyDescent="0.2">
      <c r="A58">
        <v>57</v>
      </c>
      <c r="B58" t="s">
        <v>53</v>
      </c>
      <c r="C58" t="s">
        <v>386</v>
      </c>
    </row>
    <row r="59" spans="1:9" x14ac:dyDescent="0.2">
      <c r="A59">
        <v>58</v>
      </c>
      <c r="B59" t="s">
        <v>387</v>
      </c>
      <c r="C59" t="s">
        <v>387</v>
      </c>
    </row>
    <row r="60" spans="1:9" x14ac:dyDescent="0.2">
      <c r="A60">
        <v>59</v>
      </c>
      <c r="B60" t="s">
        <v>67</v>
      </c>
      <c r="C60" t="s">
        <v>389</v>
      </c>
    </row>
    <row r="61" spans="1:9" x14ac:dyDescent="0.2">
      <c r="A61">
        <v>60</v>
      </c>
      <c r="B61" t="s">
        <v>413</v>
      </c>
      <c r="C61" t="s">
        <v>392</v>
      </c>
    </row>
    <row r="62" spans="1:9" x14ac:dyDescent="0.2">
      <c r="A62">
        <v>61</v>
      </c>
      <c r="B62" t="s">
        <v>87</v>
      </c>
      <c r="C62" t="s">
        <v>393</v>
      </c>
    </row>
    <row r="63" spans="1:9" x14ac:dyDescent="0.2">
      <c r="A63">
        <v>62</v>
      </c>
      <c r="B63" t="s">
        <v>94</v>
      </c>
      <c r="C63" t="s">
        <v>94</v>
      </c>
    </row>
    <row r="64" spans="1:9" x14ac:dyDescent="0.2">
      <c r="A64">
        <v>63</v>
      </c>
      <c r="B64" t="s">
        <v>394</v>
      </c>
      <c r="C64" t="s">
        <v>394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abSelected="1" topLeftCell="A79" zoomScale="93" zoomScaleNormal="121" workbookViewId="0">
      <selection activeCell="AB99" sqref="AB99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1" t="s">
        <v>96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</row>
    <row r="2" spans="1:27" ht="22" customHeight="1" x14ac:dyDescent="0.2">
      <c r="A2" s="100" t="s">
        <v>0</v>
      </c>
      <c r="B2" s="102" t="s">
        <v>14</v>
      </c>
      <c r="C2" s="93" t="s">
        <v>47</v>
      </c>
      <c r="D2" s="94"/>
      <c r="E2" s="94"/>
      <c r="F2" s="95"/>
      <c r="G2" s="93" t="s">
        <v>40</v>
      </c>
      <c r="H2" s="94"/>
      <c r="I2" s="94"/>
      <c r="J2" s="95"/>
      <c r="K2" s="93" t="s">
        <v>48</v>
      </c>
      <c r="L2" s="94"/>
      <c r="M2" s="94"/>
      <c r="N2" s="95"/>
      <c r="O2" s="93" t="s">
        <v>39</v>
      </c>
      <c r="P2" s="94"/>
      <c r="Q2" s="94"/>
      <c r="R2" s="95"/>
      <c r="S2" s="93" t="s">
        <v>41</v>
      </c>
      <c r="T2" s="94"/>
      <c r="U2" s="94"/>
      <c r="V2" s="95"/>
      <c r="W2" s="93" t="s">
        <v>49</v>
      </c>
      <c r="X2" s="94"/>
      <c r="Y2" s="94"/>
      <c r="Z2" s="95"/>
      <c r="AA2" s="88" t="s">
        <v>34</v>
      </c>
    </row>
    <row r="3" spans="1:27" ht="22" customHeight="1" x14ac:dyDescent="0.2">
      <c r="A3" s="100"/>
      <c r="B3" s="102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88"/>
    </row>
    <row r="4" spans="1:27" ht="17" customHeight="1" x14ac:dyDescent="0.2">
      <c r="A4" s="96" t="s">
        <v>30</v>
      </c>
      <c r="B4" s="97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 t="str">
        <v/>
      </c>
      <c r="L5" s="12" t="str">
        <v/>
      </c>
      <c r="M5" s="12" t="str">
        <v/>
      </c>
      <c r="N5" s="47" t="str">
        <v/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54</v>
      </c>
    </row>
    <row r="6" spans="1:27" ht="17" x14ac:dyDescent="0.2">
      <c r="A6" s="62" t="s">
        <v>3</v>
      </c>
      <c r="B6" s="53" t="str">
        <v>Marco-super-gt</v>
      </c>
      <c r="C6" s="12" t="str">
        <v/>
      </c>
      <c r="D6" s="12">
        <v>18</v>
      </c>
      <c r="E6" s="12" t="str">
        <v/>
      </c>
      <c r="F6" s="47">
        <v>18</v>
      </c>
      <c r="G6" s="12" t="str">
        <v/>
      </c>
      <c r="H6" s="12">
        <v>14</v>
      </c>
      <c r="I6" s="12" t="str">
        <v/>
      </c>
      <c r="J6" s="47">
        <v>14</v>
      </c>
      <c r="K6" s="12" t="str">
        <v/>
      </c>
      <c r="L6" s="12" t="str">
        <v/>
      </c>
      <c r="M6" s="12" t="str">
        <v/>
      </c>
      <c r="N6" s="47" t="str">
        <v/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32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 t="str">
        <v/>
      </c>
      <c r="M7" s="12" t="str">
        <v/>
      </c>
      <c r="N7" s="47" t="str">
        <v/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30</v>
      </c>
    </row>
    <row r="8" spans="1:27" ht="17" x14ac:dyDescent="0.2">
      <c r="A8" s="55" t="s">
        <v>5</v>
      </c>
      <c r="B8" s="53" t="str">
        <v>xRUA85x</v>
      </c>
      <c r="C8" s="12" t="str">
        <v/>
      </c>
      <c r="D8" s="12">
        <v>12</v>
      </c>
      <c r="E8" s="12" t="str">
        <v/>
      </c>
      <c r="F8" s="47">
        <v>12</v>
      </c>
      <c r="G8" s="12" t="str">
        <v/>
      </c>
      <c r="H8" s="12">
        <v>16</v>
      </c>
      <c r="I8" s="12" t="str">
        <v/>
      </c>
      <c r="J8" s="47">
        <v>16</v>
      </c>
      <c r="K8" s="12" t="str">
        <v/>
      </c>
      <c r="L8" s="12" t="str">
        <v/>
      </c>
      <c r="M8" s="12" t="str">
        <v/>
      </c>
      <c r="N8" s="47" t="str">
        <v/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28</v>
      </c>
    </row>
    <row r="9" spans="1:27" ht="17" x14ac:dyDescent="0.2">
      <c r="A9" s="55" t="s">
        <v>6</v>
      </c>
      <c r="B9" s="53" t="str">
        <v>Rupetheking</v>
      </c>
      <c r="C9" s="12" t="str">
        <v/>
      </c>
      <c r="D9" s="12">
        <v>3</v>
      </c>
      <c r="E9" s="12" t="str">
        <v/>
      </c>
      <c r="F9" s="47">
        <v>3</v>
      </c>
      <c r="G9" s="12" t="str">
        <v/>
      </c>
      <c r="H9" s="12">
        <v>20</v>
      </c>
      <c r="I9" s="12" t="str">
        <v/>
      </c>
      <c r="J9" s="47">
        <v>20</v>
      </c>
      <c r="K9" s="12" t="str">
        <v/>
      </c>
      <c r="L9" s="12" t="str">
        <v/>
      </c>
      <c r="M9" s="12" t="str">
        <v/>
      </c>
      <c r="N9" s="47" t="str">
        <v/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23</v>
      </c>
    </row>
    <row r="10" spans="1:27" ht="17.25" customHeight="1" x14ac:dyDescent="0.2">
      <c r="A10" s="55" t="s">
        <v>7</v>
      </c>
      <c r="B10" s="53" t="str">
        <v>TLM_Sicily22</v>
      </c>
      <c r="C10" s="12" t="str">
        <v/>
      </c>
      <c r="D10" s="12" t="str">
        <v/>
      </c>
      <c r="E10" s="12" t="str">
        <v/>
      </c>
      <c r="F10" s="47" t="str">
        <v/>
      </c>
      <c r="G10" s="12" t="str">
        <v/>
      </c>
      <c r="H10" s="12">
        <v>18</v>
      </c>
      <c r="I10" s="12" t="str">
        <v/>
      </c>
      <c r="J10" s="47">
        <v>18</v>
      </c>
      <c r="K10" s="20" t="str">
        <v/>
      </c>
      <c r="L10" s="20" t="str">
        <v/>
      </c>
      <c r="M10" s="20" t="str">
        <v/>
      </c>
      <c r="N10" s="47" t="str">
        <v/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18</v>
      </c>
    </row>
    <row r="11" spans="1:27" ht="17.25" customHeight="1" x14ac:dyDescent="0.2">
      <c r="A11" s="55" t="s">
        <v>8</v>
      </c>
      <c r="B11" s="53" t="str">
        <v>TLM_michaelfox12</v>
      </c>
      <c r="C11" s="12" t="str">
        <v/>
      </c>
      <c r="D11" s="12">
        <v>6</v>
      </c>
      <c r="E11" s="12" t="str">
        <v/>
      </c>
      <c r="F11" s="47">
        <v>6</v>
      </c>
      <c r="G11" s="12" t="str">
        <v/>
      </c>
      <c r="H11" s="12">
        <v>12</v>
      </c>
      <c r="I11" s="12" t="str">
        <v/>
      </c>
      <c r="J11" s="47">
        <v>12</v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18</v>
      </c>
    </row>
    <row r="12" spans="1:27" ht="17" x14ac:dyDescent="0.2">
      <c r="A12" s="55" t="s">
        <v>9</v>
      </c>
      <c r="B12" s="57" t="str">
        <v>Selpa974</v>
      </c>
      <c r="C12" s="12" t="str">
        <v/>
      </c>
      <c r="D12" s="12">
        <v>16</v>
      </c>
      <c r="E12" s="12" t="str">
        <v/>
      </c>
      <c r="F12" s="47">
        <v>16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16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 t="str">
        <v/>
      </c>
      <c r="M13" s="12" t="str">
        <v/>
      </c>
      <c r="N13" s="47" t="str">
        <v/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16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15</v>
      </c>
    </row>
    <row r="15" spans="1:27" ht="17" x14ac:dyDescent="0.2">
      <c r="A15" s="55" t="s">
        <v>12</v>
      </c>
      <c r="B15" s="53" t="str">
        <v>DCT-bazzo</v>
      </c>
      <c r="C15" s="49" t="str">
        <v/>
      </c>
      <c r="D15" s="20">
        <v>14</v>
      </c>
      <c r="E15" s="20" t="str">
        <v/>
      </c>
      <c r="F15" s="47">
        <v>14</v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14</v>
      </c>
    </row>
    <row r="16" spans="1:27" ht="17" x14ac:dyDescent="0.2">
      <c r="A16" s="55" t="s">
        <v>13</v>
      </c>
      <c r="B16" s="53" t="str">
        <v>TeoDaniricky2000</v>
      </c>
      <c r="C16" s="20" t="str">
        <v/>
      </c>
      <c r="D16" s="20">
        <v>4</v>
      </c>
      <c r="E16" s="20" t="str">
        <v/>
      </c>
      <c r="F16" s="47">
        <v>4</v>
      </c>
      <c r="G16" s="12" t="str">
        <v/>
      </c>
      <c r="H16" s="12">
        <v>6</v>
      </c>
      <c r="I16" s="12" t="str">
        <v/>
      </c>
      <c r="J16" s="47">
        <v>6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10</v>
      </c>
    </row>
    <row r="17" spans="1:16358" ht="17" x14ac:dyDescent="0.2">
      <c r="A17" s="55" t="s">
        <v>20</v>
      </c>
      <c r="B17" s="53" t="str">
        <v>Assemazz</v>
      </c>
      <c r="C17" s="20" t="str">
        <v/>
      </c>
      <c r="D17" s="20">
        <v>5</v>
      </c>
      <c r="E17" s="20" t="str">
        <v/>
      </c>
      <c r="F17" s="47">
        <v>5</v>
      </c>
      <c r="G17" s="20" t="str">
        <v/>
      </c>
      <c r="H17" s="20">
        <v>4</v>
      </c>
      <c r="I17" s="20" t="str">
        <v/>
      </c>
      <c r="J17" s="47">
        <v>4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9</v>
      </c>
    </row>
    <row r="18" spans="1:16358" ht="17" x14ac:dyDescent="0.25">
      <c r="A18" s="55" t="s">
        <v>21</v>
      </c>
      <c r="B18" s="53" t="str">
        <v>Monster_Nova_RS</v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98" t="s">
        <v>31</v>
      </c>
      <c r="B19" s="103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 t="str">
        <v/>
      </c>
      <c r="M20" s="12" t="str">
        <v/>
      </c>
      <c r="N20" s="47" t="str">
        <v/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51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 t="str">
        <v/>
      </c>
      <c r="J21" s="47">
        <v>20</v>
      </c>
      <c r="K21" s="12" t="str">
        <v/>
      </c>
      <c r="L21" s="12" t="str">
        <v/>
      </c>
      <c r="M21" s="12" t="str">
        <v/>
      </c>
      <c r="N21" s="47" t="str">
        <v/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39</v>
      </c>
    </row>
    <row r="22" spans="1:16358" ht="17" x14ac:dyDescent="0.2">
      <c r="A22" s="55" t="s">
        <v>4</v>
      </c>
      <c r="B22" s="53" t="str">
        <v>Bobgre93</v>
      </c>
      <c r="C22" s="12" t="str">
        <v/>
      </c>
      <c r="D22" s="12">
        <v>20</v>
      </c>
      <c r="E22" s="12" t="str">
        <v/>
      </c>
      <c r="F22" s="47">
        <v>20</v>
      </c>
      <c r="G22" s="12" t="str">
        <v/>
      </c>
      <c r="H22" s="12">
        <v>16</v>
      </c>
      <c r="I22" s="12" t="str">
        <v/>
      </c>
      <c r="J22" s="47">
        <v>16</v>
      </c>
      <c r="K22" s="12" t="str">
        <v/>
      </c>
      <c r="L22" s="12" t="str">
        <v/>
      </c>
      <c r="M22" s="12" t="str">
        <v/>
      </c>
      <c r="N22" s="47" t="str">
        <v/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36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 t="str">
        <v/>
      </c>
      <c r="M23" s="12" t="str">
        <v/>
      </c>
      <c r="N23" s="47" t="str">
        <v/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33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 t="str">
        <v/>
      </c>
      <c r="M24" s="12" t="str">
        <v/>
      </c>
      <c r="N24" s="47" t="str">
        <v/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30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25</v>
      </c>
    </row>
    <row r="26" spans="1:16358" ht="17" x14ac:dyDescent="0.2">
      <c r="A26" s="55" t="s">
        <v>8</v>
      </c>
      <c r="B26" s="53" t="str">
        <v>Freshofthezone</v>
      </c>
      <c r="C26" s="12" t="str">
        <v/>
      </c>
      <c r="D26" s="12">
        <v>8</v>
      </c>
      <c r="E26" s="12" t="str">
        <v/>
      </c>
      <c r="F26" s="47">
        <v>8</v>
      </c>
      <c r="G26" s="12" t="str">
        <v/>
      </c>
      <c r="H26" s="12">
        <v>10</v>
      </c>
      <c r="I26" s="12" t="str">
        <v/>
      </c>
      <c r="J26" s="47">
        <v>10</v>
      </c>
      <c r="K26" s="12" t="str">
        <v/>
      </c>
      <c r="L26" s="12" t="str">
        <v/>
      </c>
      <c r="M26" s="12" t="str">
        <v/>
      </c>
      <c r="N26" s="47" t="str">
        <v/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18</v>
      </c>
    </row>
    <row r="27" spans="1:16358" ht="17" x14ac:dyDescent="0.2">
      <c r="A27" s="55" t="s">
        <v>9</v>
      </c>
      <c r="B27" s="57" t="str">
        <v>GTRC_AMALA_ETNA</v>
      </c>
      <c r="C27" s="12" t="str">
        <v/>
      </c>
      <c r="D27" s="12">
        <v>10</v>
      </c>
      <c r="E27" s="12" t="str">
        <v/>
      </c>
      <c r="F27" s="47">
        <v>10</v>
      </c>
      <c r="G27" s="12" t="str">
        <v/>
      </c>
      <c r="H27" s="12">
        <v>6</v>
      </c>
      <c r="I27" s="12" t="str">
        <v/>
      </c>
      <c r="J27" s="47">
        <v>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16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13</v>
      </c>
    </row>
    <row r="29" spans="1:16358" ht="17" x14ac:dyDescent="0.2">
      <c r="A29" s="55" t="s">
        <v>11</v>
      </c>
      <c r="B29" s="53" t="str">
        <v>Blokkobubbles</v>
      </c>
      <c r="C29" s="12" t="str">
        <v/>
      </c>
      <c r="D29" s="12">
        <v>6</v>
      </c>
      <c r="E29" s="12" t="str">
        <v/>
      </c>
      <c r="F29" s="47">
        <v>6</v>
      </c>
      <c r="G29" s="12" t="str">
        <v/>
      </c>
      <c r="H29" s="12">
        <v>5</v>
      </c>
      <c r="I29" s="12" t="str">
        <v/>
      </c>
      <c r="J29" s="47">
        <v>5</v>
      </c>
      <c r="K29" s="20" t="str">
        <v/>
      </c>
      <c r="L29" s="20" t="str">
        <v/>
      </c>
      <c r="M29" s="20" t="str">
        <v/>
      </c>
      <c r="N29" s="47" t="str">
        <v/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11</v>
      </c>
    </row>
    <row r="30" spans="1:16358" ht="17" x14ac:dyDescent="0.2">
      <c r="A30" s="55" t="s">
        <v>12</v>
      </c>
      <c r="B30" s="53" t="str">
        <v>jack-187-jack</v>
      </c>
      <c r="C30" s="49" t="str">
        <v/>
      </c>
      <c r="D30" s="20">
        <v>4</v>
      </c>
      <c r="E30" s="20" t="str">
        <v/>
      </c>
      <c r="F30" s="47">
        <v>4</v>
      </c>
      <c r="G30" s="12" t="str">
        <v/>
      </c>
      <c r="H30" s="12">
        <v>4</v>
      </c>
      <c r="I30" s="12" t="str">
        <v/>
      </c>
      <c r="J30" s="47">
        <v>4</v>
      </c>
      <c r="K30" s="12" t="str">
        <v/>
      </c>
      <c r="L30" s="12" t="str">
        <v/>
      </c>
      <c r="M30" s="12" t="str">
        <v/>
      </c>
      <c r="N30" s="47" t="str">
        <v/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8</v>
      </c>
    </row>
    <row r="31" spans="1:16358" ht="15" customHeight="1" x14ac:dyDescent="0.2">
      <c r="A31" s="55" t="s">
        <v>13</v>
      </c>
      <c r="B31" s="53" t="str">
        <v>Mancinelli2002</v>
      </c>
      <c r="C31" s="20" t="str">
        <v/>
      </c>
      <c r="D31" s="20">
        <v>2</v>
      </c>
      <c r="E31" s="20" t="str">
        <v/>
      </c>
      <c r="F31" s="47">
        <v>2</v>
      </c>
      <c r="G31" s="12" t="str">
        <v/>
      </c>
      <c r="H31" s="12">
        <v>3</v>
      </c>
      <c r="I31" s="12" t="str">
        <v/>
      </c>
      <c r="J31" s="47">
        <v>3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5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5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96" t="s">
        <v>50</v>
      </c>
      <c r="B34" s="97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 t="str">
        <v/>
      </c>
      <c r="L35" s="12" t="str">
        <v/>
      </c>
      <c r="M35" s="12" t="str">
        <v/>
      </c>
      <c r="N35" s="47" t="str">
        <v/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54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 t="str">
        <v/>
      </c>
      <c r="M36" s="12" t="str">
        <v/>
      </c>
      <c r="N36" s="47" t="str">
        <v/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34</v>
      </c>
    </row>
    <row r="37" spans="1:27" ht="17" x14ac:dyDescent="0.2">
      <c r="A37" s="54" t="s">
        <v>4</v>
      </c>
      <c r="B37" s="53" t="str">
        <v>jet_morello</v>
      </c>
      <c r="C37" s="12" t="str">
        <v/>
      </c>
      <c r="D37" s="12">
        <v>12</v>
      </c>
      <c r="E37" s="12" t="str">
        <v/>
      </c>
      <c r="F37" s="47">
        <v>12</v>
      </c>
      <c r="G37" s="12" t="str">
        <v/>
      </c>
      <c r="H37" s="12">
        <v>10</v>
      </c>
      <c r="I37" s="12" t="str">
        <v/>
      </c>
      <c r="J37" s="47">
        <v>10</v>
      </c>
      <c r="K37" s="12" t="str">
        <v/>
      </c>
      <c r="L37" s="12" t="str">
        <v/>
      </c>
      <c r="M37" s="12" t="str">
        <v/>
      </c>
      <c r="N37" s="47" t="str">
        <v/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22</v>
      </c>
    </row>
    <row r="38" spans="1:27" ht="17" x14ac:dyDescent="0.2">
      <c r="A38" s="55" t="s">
        <v>5</v>
      </c>
      <c r="B38" s="53" t="str">
        <v>TheGuarny</v>
      </c>
      <c r="C38" s="12" t="str">
        <v/>
      </c>
      <c r="D38" s="12">
        <v>20</v>
      </c>
      <c r="E38" s="12" t="str">
        <v/>
      </c>
      <c r="F38" s="47">
        <v>20</v>
      </c>
      <c r="G38" s="12" t="str">
        <v/>
      </c>
      <c r="H38" s="12" t="str">
        <v/>
      </c>
      <c r="I38" s="12" t="str">
        <v/>
      </c>
      <c r="J38" s="47" t="str">
        <v/>
      </c>
      <c r="K38" s="12" t="str">
        <v/>
      </c>
      <c r="L38" s="12" t="str">
        <v/>
      </c>
      <c r="M38" s="12" t="str">
        <v/>
      </c>
      <c r="N38" s="47" t="str">
        <v/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20</v>
      </c>
    </row>
    <row r="39" spans="1:27" ht="17" x14ac:dyDescent="0.2">
      <c r="A39" s="55" t="s">
        <v>6</v>
      </c>
      <c r="B39" s="53" t="str">
        <v>andvea_99</v>
      </c>
      <c r="C39" s="12" t="str">
        <v/>
      </c>
      <c r="D39" s="12" t="str">
        <v/>
      </c>
      <c r="E39" s="12" t="str">
        <v/>
      </c>
      <c r="F39" s="47" t="str">
        <v/>
      </c>
      <c r="G39" s="12" t="str">
        <v/>
      </c>
      <c r="H39" s="12">
        <v>20</v>
      </c>
      <c r="I39" s="12" t="str">
        <v/>
      </c>
      <c r="J39" s="47">
        <v>20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20</v>
      </c>
    </row>
    <row r="40" spans="1:27" ht="17" x14ac:dyDescent="0.2">
      <c r="A40" s="55" t="s">
        <v>7</v>
      </c>
      <c r="B40" s="53" t="str">
        <v>TLM_wid83</v>
      </c>
      <c r="C40" s="12" t="str">
        <v/>
      </c>
      <c r="D40" s="12">
        <v>18</v>
      </c>
      <c r="E40" s="12" t="str">
        <v/>
      </c>
      <c r="F40" s="47">
        <v>18</v>
      </c>
      <c r="G40" s="12" t="str">
        <v/>
      </c>
      <c r="H40" s="12" t="str">
        <v/>
      </c>
      <c r="I40" s="12" t="str">
        <v/>
      </c>
      <c r="J40" s="47" t="str">
        <v/>
      </c>
      <c r="K40" s="20" t="str">
        <v/>
      </c>
      <c r="L40" s="20" t="str">
        <v/>
      </c>
      <c r="M40" s="20" t="str">
        <v/>
      </c>
      <c r="N40" s="47" t="str">
        <v/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18</v>
      </c>
    </row>
    <row r="41" spans="1:27" ht="17" x14ac:dyDescent="0.2">
      <c r="A41" s="55" t="s">
        <v>8</v>
      </c>
      <c r="B41" s="53" t="str">
        <v>Liotru1979</v>
      </c>
      <c r="C41" s="12" t="str">
        <v/>
      </c>
      <c r="D41" s="12">
        <v>8</v>
      </c>
      <c r="E41" s="12" t="str">
        <v/>
      </c>
      <c r="F41" s="47">
        <v>8</v>
      </c>
      <c r="G41" s="12" t="str">
        <v/>
      </c>
      <c r="H41" s="12">
        <v>8</v>
      </c>
      <c r="I41" s="12" t="str">
        <v/>
      </c>
      <c r="J41" s="47">
        <v>8</v>
      </c>
      <c r="K41" s="12" t="str">
        <v/>
      </c>
      <c r="L41" s="12" t="str">
        <v/>
      </c>
      <c r="M41" s="12" t="str">
        <v/>
      </c>
      <c r="N41" s="47" t="str">
        <v/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16</v>
      </c>
    </row>
    <row r="42" spans="1:27" ht="17" x14ac:dyDescent="0.2">
      <c r="A42" s="55" t="s">
        <v>9</v>
      </c>
      <c r="B42" s="57" t="str">
        <v>madonte</v>
      </c>
      <c r="C42" s="12" t="str">
        <v/>
      </c>
      <c r="D42" s="12">
        <v>10</v>
      </c>
      <c r="E42" s="12" t="str">
        <v/>
      </c>
      <c r="F42" s="47">
        <v>10</v>
      </c>
      <c r="G42" s="12" t="str">
        <v/>
      </c>
      <c r="H42" s="12">
        <v>6</v>
      </c>
      <c r="I42" s="12" t="str">
        <v/>
      </c>
      <c r="J42" s="47">
        <v>6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16</v>
      </c>
    </row>
    <row r="43" spans="1:27" ht="17" x14ac:dyDescent="0.2">
      <c r="A43" s="55" t="s">
        <v>10</v>
      </c>
      <c r="B43" s="53" t="str">
        <v>RMT_GEFF-21</v>
      </c>
      <c r="C43" s="20" t="str">
        <v/>
      </c>
      <c r="D43" s="20">
        <v>14</v>
      </c>
      <c r="E43" s="20" t="str">
        <v/>
      </c>
      <c r="F43" s="47">
        <v>14</v>
      </c>
      <c r="G43" s="12" t="str">
        <v/>
      </c>
      <c r="H43" s="12" t="str">
        <v/>
      </c>
      <c r="I43" s="12" t="str">
        <v/>
      </c>
      <c r="J43" s="47" t="str">
        <v/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14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 t="str">
        <v/>
      </c>
      <c r="M44" s="20" t="str">
        <v/>
      </c>
      <c r="N44" s="47" t="str">
        <v/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11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 t="str">
        <v/>
      </c>
      <c r="M45" s="12" t="str">
        <v/>
      </c>
      <c r="N45" s="47" t="str">
        <v/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8</v>
      </c>
    </row>
    <row r="46" spans="1:27" ht="17" x14ac:dyDescent="0.2">
      <c r="A46" s="55" t="s">
        <v>13</v>
      </c>
      <c r="B46" s="53" t="str">
        <v>TLM_CaLiGoLa</v>
      </c>
      <c r="C46" s="20" t="str">
        <v/>
      </c>
      <c r="D46" s="20">
        <v>5</v>
      </c>
      <c r="E46" s="20" t="str">
        <v/>
      </c>
      <c r="F46" s="47">
        <v>5</v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5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3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98" t="s">
        <v>51</v>
      </c>
      <c r="B49" s="103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 t="str">
        <v/>
      </c>
      <c r="L50" s="12" t="str">
        <v/>
      </c>
      <c r="M50" s="12" t="str">
        <v/>
      </c>
      <c r="N50" s="47" t="str">
        <v/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48</v>
      </c>
    </row>
    <row r="51" spans="1:27" ht="17" x14ac:dyDescent="0.2">
      <c r="A51" s="54" t="s">
        <v>3</v>
      </c>
      <c r="B51" s="53" t="str">
        <v>DRT-Mirkobenny85</v>
      </c>
      <c r="C51" s="12" t="str">
        <v/>
      </c>
      <c r="D51" s="12">
        <v>25</v>
      </c>
      <c r="E51" s="12" t="str">
        <v/>
      </c>
      <c r="F51" s="47">
        <v>25</v>
      </c>
      <c r="G51" s="12" t="str">
        <v/>
      </c>
      <c r="H51" s="12">
        <v>16</v>
      </c>
      <c r="I51" s="12" t="str">
        <v/>
      </c>
      <c r="J51" s="47">
        <v>16</v>
      </c>
      <c r="K51" s="12" t="str">
        <v/>
      </c>
      <c r="L51" s="12" t="str">
        <v/>
      </c>
      <c r="M51" s="12" t="str">
        <v/>
      </c>
      <c r="N51" s="47" t="str">
        <v/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41</v>
      </c>
    </row>
    <row r="52" spans="1:27" ht="17" x14ac:dyDescent="0.2">
      <c r="A52" s="55" t="s">
        <v>4</v>
      </c>
      <c r="B52" s="53" t="str">
        <v>Parenji</v>
      </c>
      <c r="C52" s="12" t="str">
        <v/>
      </c>
      <c r="D52" s="12">
        <v>14</v>
      </c>
      <c r="E52" s="12" t="str">
        <v/>
      </c>
      <c r="F52" s="47">
        <v>14</v>
      </c>
      <c r="G52" s="12" t="str">
        <v/>
      </c>
      <c r="H52" s="12">
        <v>18</v>
      </c>
      <c r="I52" s="12" t="str">
        <v/>
      </c>
      <c r="J52" s="47">
        <v>18</v>
      </c>
      <c r="K52" s="12" t="str">
        <v/>
      </c>
      <c r="L52" s="12" t="str">
        <v/>
      </c>
      <c r="M52" s="12" t="str">
        <v/>
      </c>
      <c r="N52" s="47" t="str">
        <v/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32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 t="str">
        <v/>
      </c>
      <c r="M53" s="12" t="str">
        <v/>
      </c>
      <c r="N53" s="47" t="str">
        <v/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30</v>
      </c>
    </row>
    <row r="54" spans="1:27" ht="17" x14ac:dyDescent="0.2">
      <c r="A54" s="55" t="s">
        <v>6</v>
      </c>
      <c r="B54" s="53" t="str">
        <v>Mikedb__91__</v>
      </c>
      <c r="C54" s="12" t="str">
        <v/>
      </c>
      <c r="D54" s="12">
        <v>12</v>
      </c>
      <c r="E54" s="12" t="str">
        <v/>
      </c>
      <c r="F54" s="47">
        <v>12</v>
      </c>
      <c r="G54" s="12" t="str">
        <v/>
      </c>
      <c r="H54" s="12">
        <v>14</v>
      </c>
      <c r="I54" s="12" t="str">
        <v/>
      </c>
      <c r="J54" s="47">
        <v>14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26</v>
      </c>
    </row>
    <row r="55" spans="1:27" ht="17" x14ac:dyDescent="0.2">
      <c r="A55" s="55" t="s">
        <v>7</v>
      </c>
      <c r="B55" s="53" t="str">
        <v>Pennysss71</v>
      </c>
      <c r="C55" s="12" t="str">
        <v/>
      </c>
      <c r="D55" s="12" t="str">
        <v/>
      </c>
      <c r="E55" s="12" t="str">
        <v/>
      </c>
      <c r="F55" s="47" t="str">
        <v/>
      </c>
      <c r="G55" s="12" t="str">
        <v/>
      </c>
      <c r="H55" s="12">
        <v>20</v>
      </c>
      <c r="I55" s="12" t="str">
        <v/>
      </c>
      <c r="J55" s="47">
        <v>20</v>
      </c>
      <c r="K55" s="20" t="str">
        <v/>
      </c>
      <c r="L55" s="20" t="str">
        <v/>
      </c>
      <c r="M55" s="20" t="str">
        <v/>
      </c>
      <c r="N55" s="47" t="str">
        <v/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20</v>
      </c>
    </row>
    <row r="56" spans="1:27" ht="17" x14ac:dyDescent="0.2">
      <c r="A56" s="55" t="s">
        <v>8</v>
      </c>
      <c r="B56" s="53" t="str">
        <v>Tonyroto74</v>
      </c>
      <c r="C56" s="12" t="str">
        <v/>
      </c>
      <c r="D56" s="12">
        <v>10</v>
      </c>
      <c r="E56" s="12" t="str">
        <v/>
      </c>
      <c r="F56" s="47">
        <v>10</v>
      </c>
      <c r="G56" s="12" t="str">
        <v/>
      </c>
      <c r="H56" s="12">
        <v>10</v>
      </c>
      <c r="I56" s="12" t="str">
        <v/>
      </c>
      <c r="J56" s="47">
        <v>10</v>
      </c>
      <c r="K56" s="12" t="str">
        <v/>
      </c>
      <c r="L56" s="12" t="str">
        <v/>
      </c>
      <c r="M56" s="12" t="str">
        <v/>
      </c>
      <c r="N56" s="47" t="str">
        <v/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20</v>
      </c>
    </row>
    <row r="57" spans="1:27" ht="17" x14ac:dyDescent="0.2">
      <c r="A57" s="55" t="s">
        <v>9</v>
      </c>
      <c r="B57" s="57" t="str">
        <v>Silentium884</v>
      </c>
      <c r="C57" s="12" t="str">
        <v/>
      </c>
      <c r="D57" s="12">
        <v>16</v>
      </c>
      <c r="E57" s="12" t="str">
        <v/>
      </c>
      <c r="F57" s="47">
        <v>16</v>
      </c>
      <c r="G57" s="12" t="str">
        <v/>
      </c>
      <c r="H57" s="12" t="str">
        <v/>
      </c>
      <c r="I57" s="12" t="str">
        <v/>
      </c>
      <c r="J57" s="47" t="str">
        <v/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16</v>
      </c>
    </row>
    <row r="58" spans="1:27" ht="17" x14ac:dyDescent="0.2">
      <c r="A58" s="55" t="s">
        <v>10</v>
      </c>
      <c r="B58" s="53" t="str">
        <v>Dani_CT1946</v>
      </c>
      <c r="C58" s="20" t="str">
        <v/>
      </c>
      <c r="D58" s="20">
        <v>8</v>
      </c>
      <c r="E58" s="20" t="str">
        <v/>
      </c>
      <c r="F58" s="47">
        <v>8</v>
      </c>
      <c r="G58" s="12" t="str">
        <v/>
      </c>
      <c r="H58" s="12">
        <v>8</v>
      </c>
      <c r="I58" s="12" t="str">
        <v/>
      </c>
      <c r="J58" s="47">
        <v>8</v>
      </c>
      <c r="K58" s="12" t="str">
        <v/>
      </c>
      <c r="L58" s="12" t="str">
        <v/>
      </c>
      <c r="M58" s="12" t="str">
        <v/>
      </c>
      <c r="N58" s="47" t="str">
        <v/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16</v>
      </c>
    </row>
    <row r="59" spans="1:27" ht="17" x14ac:dyDescent="0.2">
      <c r="A59" s="55" t="s">
        <v>11</v>
      </c>
      <c r="B59" s="53" t="str">
        <v>Dimaaa66</v>
      </c>
      <c r="C59" s="12" t="str">
        <v/>
      </c>
      <c r="D59" s="12">
        <v>6</v>
      </c>
      <c r="E59" s="12" t="str">
        <v/>
      </c>
      <c r="F59" s="47">
        <v>6</v>
      </c>
      <c r="G59" s="12" t="str">
        <v/>
      </c>
      <c r="H59" s="12">
        <v>4</v>
      </c>
      <c r="I59" s="12" t="str">
        <v/>
      </c>
      <c r="J59" s="47">
        <v>4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10</v>
      </c>
    </row>
    <row r="60" spans="1:27" ht="17" x14ac:dyDescent="0.2">
      <c r="A60" s="55" t="s">
        <v>12</v>
      </c>
      <c r="B60" s="53" t="str">
        <v>recidivo92</v>
      </c>
      <c r="C60" s="49" t="str">
        <v/>
      </c>
      <c r="D60" s="20">
        <v>3</v>
      </c>
      <c r="E60" s="20" t="str">
        <v/>
      </c>
      <c r="F60" s="47">
        <v>3</v>
      </c>
      <c r="G60" s="12" t="str">
        <v/>
      </c>
      <c r="H60" s="12">
        <v>6</v>
      </c>
      <c r="I60" s="12" t="str">
        <v/>
      </c>
      <c r="J60" s="47">
        <v>6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9</v>
      </c>
    </row>
    <row r="61" spans="1:27" ht="17" x14ac:dyDescent="0.2">
      <c r="A61" s="55" t="s">
        <v>13</v>
      </c>
      <c r="B61" s="53" t="str">
        <v>mettiukc</v>
      </c>
      <c r="C61" s="20" t="str">
        <v/>
      </c>
      <c r="D61" s="20">
        <v>5</v>
      </c>
      <c r="E61" s="20" t="str">
        <v/>
      </c>
      <c r="F61" s="47">
        <v>5</v>
      </c>
      <c r="G61" s="12" t="str">
        <v/>
      </c>
      <c r="H61" s="12">
        <v>3</v>
      </c>
      <c r="I61" s="12" t="str">
        <v/>
      </c>
      <c r="J61" s="47">
        <v>3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8</v>
      </c>
    </row>
    <row r="62" spans="1:27" ht="17" x14ac:dyDescent="0.2">
      <c r="A62" s="55" t="s">
        <v>20</v>
      </c>
      <c r="B62" s="53" t="str">
        <v>Rikas78</v>
      </c>
      <c r="C62" s="20" t="str">
        <v/>
      </c>
      <c r="D62" s="20">
        <v>2</v>
      </c>
      <c r="E62" s="20" t="str">
        <v/>
      </c>
      <c r="F62" s="47">
        <v>2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7</v>
      </c>
    </row>
    <row r="63" spans="1:27" ht="17" x14ac:dyDescent="0.2">
      <c r="A63" s="55" t="s">
        <v>21</v>
      </c>
      <c r="B63" s="53" t="str">
        <v>Costanzo-Mirko90</v>
      </c>
      <c r="C63" s="20" t="str">
        <v/>
      </c>
      <c r="D63" s="20">
        <v>4</v>
      </c>
      <c r="E63" s="20" t="str">
        <v/>
      </c>
      <c r="F63" s="47">
        <v>4</v>
      </c>
      <c r="G63" s="20" t="str">
        <v/>
      </c>
      <c r="H63" s="20">
        <v>2</v>
      </c>
      <c r="I63" s="20" t="str">
        <v/>
      </c>
      <c r="J63" s="47">
        <v>2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6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89" t="s">
        <v>42</v>
      </c>
      <c r="B66" s="90"/>
      <c r="C66" s="93" t="s">
        <v>47</v>
      </c>
      <c r="D66" s="94"/>
      <c r="E66" s="94"/>
      <c r="F66" s="95"/>
      <c r="G66" s="93" t="s">
        <v>40</v>
      </c>
      <c r="H66" s="94"/>
      <c r="I66" s="94"/>
      <c r="J66" s="95"/>
      <c r="K66" s="93" t="s">
        <v>48</v>
      </c>
      <c r="L66" s="94"/>
      <c r="M66" s="94"/>
      <c r="N66" s="95"/>
      <c r="O66" s="93" t="s">
        <v>39</v>
      </c>
      <c r="P66" s="94"/>
      <c r="Q66" s="94"/>
      <c r="R66" s="95"/>
      <c r="S66" s="93" t="s">
        <v>41</v>
      </c>
      <c r="T66" s="94"/>
      <c r="U66" s="94"/>
      <c r="V66" s="95"/>
      <c r="W66" s="93" t="s">
        <v>49</v>
      </c>
      <c r="X66" s="94"/>
      <c r="Y66" s="94"/>
      <c r="Z66" s="95"/>
      <c r="AA66" s="104" t="s">
        <v>34</v>
      </c>
    </row>
    <row r="67" spans="1:27" ht="27" x14ac:dyDescent="0.2">
      <c r="A67" s="91"/>
      <c r="B67" s="92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05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 t="str">
        <v/>
      </c>
      <c r="L68" s="12" t="str">
        <v/>
      </c>
      <c r="M68" s="12" t="str">
        <v/>
      </c>
      <c r="N68" s="47" t="str">
        <v/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54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 t="str">
        <v/>
      </c>
      <c r="L69" s="12" t="str">
        <v/>
      </c>
      <c r="M69" s="12" t="str">
        <v/>
      </c>
      <c r="N69" s="47" t="str">
        <v/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54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 t="str">
        <v/>
      </c>
      <c r="M70" s="12" t="str">
        <v/>
      </c>
      <c r="N70" s="47" t="str">
        <v/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51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 t="str">
        <v/>
      </c>
      <c r="L71" s="12" t="str">
        <v/>
      </c>
      <c r="M71" s="12" t="str">
        <v/>
      </c>
      <c r="N71" s="47" t="str">
        <v/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48</v>
      </c>
    </row>
    <row r="72" spans="1:27" ht="17" x14ac:dyDescent="0.25">
      <c r="A72" s="28">
        <v>5</v>
      </c>
      <c r="B72" s="29" t="str">
        <v>DRT-Mirkobenny85</v>
      </c>
      <c r="C72" s="12" t="str">
        <v/>
      </c>
      <c r="D72" s="12">
        <v>25</v>
      </c>
      <c r="E72" s="12" t="str">
        <v/>
      </c>
      <c r="F72" s="47">
        <v>25</v>
      </c>
      <c r="G72" s="12" t="str">
        <v/>
      </c>
      <c r="H72" s="12">
        <v>16</v>
      </c>
      <c r="I72" s="12" t="str">
        <v/>
      </c>
      <c r="J72" s="47">
        <v>16</v>
      </c>
      <c r="K72" s="12" t="str">
        <v/>
      </c>
      <c r="L72" s="12" t="str">
        <v/>
      </c>
      <c r="M72" s="12" t="str">
        <v/>
      </c>
      <c r="N72" s="47" t="str">
        <v/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41</v>
      </c>
    </row>
    <row r="73" spans="1:27" ht="17" x14ac:dyDescent="0.25">
      <c r="A73" s="28">
        <v>6</v>
      </c>
      <c r="B73" s="29" t="str">
        <v>Pointshark</v>
      </c>
      <c r="C73" s="12" t="str">
        <v/>
      </c>
      <c r="D73" s="12">
        <v>18</v>
      </c>
      <c r="E73" s="12">
        <v>1</v>
      </c>
      <c r="F73" s="47">
        <v>19</v>
      </c>
      <c r="G73" s="12" t="str">
        <v/>
      </c>
      <c r="H73" s="12">
        <v>20</v>
      </c>
      <c r="I73" s="12" t="str">
        <v/>
      </c>
      <c r="J73" s="47">
        <v>20</v>
      </c>
      <c r="K73" s="20" t="str">
        <v/>
      </c>
      <c r="L73" s="20" t="str">
        <v/>
      </c>
      <c r="M73" s="20" t="str">
        <v/>
      </c>
      <c r="N73" s="47" t="str">
        <v/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39</v>
      </c>
    </row>
    <row r="74" spans="1:27" ht="17" x14ac:dyDescent="0.25">
      <c r="A74" s="28">
        <v>7</v>
      </c>
      <c r="B74" s="29" t="str">
        <v>Bobgre93</v>
      </c>
      <c r="C74" s="12" t="str">
        <v/>
      </c>
      <c r="D74" s="12">
        <v>20</v>
      </c>
      <c r="E74" s="12" t="str">
        <v/>
      </c>
      <c r="F74" s="47">
        <v>20</v>
      </c>
      <c r="G74" s="12" t="str">
        <v/>
      </c>
      <c r="H74" s="12">
        <v>16</v>
      </c>
      <c r="I74" s="12" t="str">
        <v/>
      </c>
      <c r="J74" s="47">
        <v>16</v>
      </c>
      <c r="K74" s="12" t="str">
        <v/>
      </c>
      <c r="L74" s="12" t="str">
        <v/>
      </c>
      <c r="M74" s="12" t="str">
        <v/>
      </c>
      <c r="N74" s="47" t="str">
        <v/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36</v>
      </c>
    </row>
    <row r="75" spans="1:27" ht="17" x14ac:dyDescent="0.25">
      <c r="A75" s="28">
        <v>8</v>
      </c>
      <c r="B75" s="29" t="str">
        <v>TLM_SKIZZO 34</v>
      </c>
      <c r="C75" s="43" t="str">
        <v/>
      </c>
      <c r="D75" s="43">
        <v>16</v>
      </c>
      <c r="E75" s="43" t="str">
        <v/>
      </c>
      <c r="F75" s="48">
        <v>16</v>
      </c>
      <c r="G75" s="43" t="str">
        <v/>
      </c>
      <c r="H75" s="43">
        <v>18</v>
      </c>
      <c r="I75" s="43" t="str">
        <v/>
      </c>
      <c r="J75" s="48">
        <v>18</v>
      </c>
      <c r="K75" s="43" t="str">
        <v/>
      </c>
      <c r="L75" s="43" t="str">
        <v/>
      </c>
      <c r="M75" s="43" t="str">
        <v/>
      </c>
      <c r="N75" s="48" t="str">
        <v/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34</v>
      </c>
    </row>
    <row r="76" spans="1:27" ht="17" x14ac:dyDescent="0.25">
      <c r="A76" s="28">
        <v>9</v>
      </c>
      <c r="B76" s="30" t="str">
        <v>Buitre83GT</v>
      </c>
      <c r="C76" s="20" t="str">
        <v/>
      </c>
      <c r="D76" s="20">
        <v>14</v>
      </c>
      <c r="E76" s="20" t="str">
        <v/>
      </c>
      <c r="F76" s="47">
        <v>14</v>
      </c>
      <c r="G76" s="12">
        <v>1</v>
      </c>
      <c r="H76" s="12">
        <v>18</v>
      </c>
      <c r="I76" s="12" t="str">
        <v/>
      </c>
      <c r="J76" s="47">
        <v>19</v>
      </c>
      <c r="K76" s="12" t="str">
        <v/>
      </c>
      <c r="L76" s="12" t="str">
        <v/>
      </c>
      <c r="M76" s="12" t="str">
        <v/>
      </c>
      <c r="N76" s="47" t="str">
        <v/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33</v>
      </c>
    </row>
    <row r="77" spans="1:27" ht="17" x14ac:dyDescent="0.25">
      <c r="A77" s="28">
        <v>10</v>
      </c>
      <c r="B77" s="29" t="str">
        <v>Marco-super-gt</v>
      </c>
      <c r="C77" s="12" t="str">
        <v/>
      </c>
      <c r="D77" s="12">
        <v>18</v>
      </c>
      <c r="E77" s="12" t="str">
        <v/>
      </c>
      <c r="F77" s="47">
        <v>18</v>
      </c>
      <c r="G77" s="12" t="str">
        <v/>
      </c>
      <c r="H77" s="12">
        <v>14</v>
      </c>
      <c r="I77" s="12" t="str">
        <v/>
      </c>
      <c r="J77" s="47">
        <v>14</v>
      </c>
      <c r="K77" s="20" t="str">
        <v/>
      </c>
      <c r="L77" s="20" t="str">
        <v/>
      </c>
      <c r="M77" s="20" t="str">
        <v/>
      </c>
      <c r="N77" s="47" t="str">
        <v/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32</v>
      </c>
    </row>
    <row r="78" spans="1:27" ht="17" x14ac:dyDescent="0.25">
      <c r="A78" s="28">
        <v>11</v>
      </c>
      <c r="B78" s="29" t="str">
        <v>Parenji</v>
      </c>
      <c r="C78" s="49" t="str">
        <v/>
      </c>
      <c r="D78" s="20">
        <v>14</v>
      </c>
      <c r="E78" s="20" t="str">
        <v/>
      </c>
      <c r="F78" s="47">
        <v>14</v>
      </c>
      <c r="G78" s="12" t="str">
        <v/>
      </c>
      <c r="H78" s="12">
        <v>18</v>
      </c>
      <c r="I78" s="12" t="str">
        <v/>
      </c>
      <c r="J78" s="47">
        <v>18</v>
      </c>
      <c r="K78" s="12" t="str">
        <v/>
      </c>
      <c r="L78" s="12" t="str">
        <v/>
      </c>
      <c r="M78" s="12" t="str">
        <v/>
      </c>
      <c r="N78" s="47" t="str">
        <v/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32</v>
      </c>
    </row>
    <row r="79" spans="1:27" ht="17" x14ac:dyDescent="0.25">
      <c r="A79" s="28">
        <v>12</v>
      </c>
      <c r="B79" s="29" t="str">
        <v>TLM_Kappa</v>
      </c>
      <c r="C79" s="20" t="str">
        <v/>
      </c>
      <c r="D79" s="20">
        <v>20</v>
      </c>
      <c r="E79" s="20" t="str">
        <v/>
      </c>
      <c r="F79" s="47">
        <v>20</v>
      </c>
      <c r="G79" s="12" t="str">
        <v/>
      </c>
      <c r="H79" s="12">
        <v>10</v>
      </c>
      <c r="I79" s="12" t="str">
        <v/>
      </c>
      <c r="J79" s="47">
        <v>10</v>
      </c>
      <c r="K79" s="20" t="str">
        <v/>
      </c>
      <c r="L79" s="20" t="str">
        <v/>
      </c>
      <c r="M79" s="20" t="str">
        <v/>
      </c>
      <c r="N79" s="47" t="str">
        <v/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30</v>
      </c>
    </row>
    <row r="80" spans="1:27" ht="17" x14ac:dyDescent="0.25">
      <c r="A80" s="28">
        <v>13</v>
      </c>
      <c r="B80" s="29" t="str">
        <v>CORNAZZAI73</v>
      </c>
      <c r="C80" s="20" t="str">
        <v/>
      </c>
      <c r="D80" s="20">
        <v>16</v>
      </c>
      <c r="E80" s="20" t="str">
        <v/>
      </c>
      <c r="F80" s="47">
        <v>16</v>
      </c>
      <c r="G80" s="20" t="str">
        <v/>
      </c>
      <c r="H80" s="20">
        <v>14</v>
      </c>
      <c r="I80" s="20" t="str">
        <v/>
      </c>
      <c r="J80" s="47">
        <v>14</v>
      </c>
      <c r="K80" s="20" t="str">
        <v/>
      </c>
      <c r="L80" s="20" t="str">
        <v/>
      </c>
      <c r="M80" s="20" t="str">
        <v/>
      </c>
      <c r="N80" s="47" t="str">
        <v/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30</v>
      </c>
    </row>
    <row r="81" spans="1:27" ht="17" x14ac:dyDescent="0.25">
      <c r="A81" s="28">
        <v>14</v>
      </c>
      <c r="B81" s="29" t="str">
        <v>X-Gianni-</v>
      </c>
      <c r="C81" s="20" t="str">
        <v/>
      </c>
      <c r="D81" s="20">
        <v>18</v>
      </c>
      <c r="E81" s="20" t="str">
        <v/>
      </c>
      <c r="F81" s="47">
        <v>18</v>
      </c>
      <c r="G81" s="20" t="str">
        <v/>
      </c>
      <c r="H81" s="20">
        <v>12</v>
      </c>
      <c r="I81" s="20" t="str">
        <v/>
      </c>
      <c r="J81" s="47">
        <v>12</v>
      </c>
      <c r="K81" s="20" t="str">
        <v/>
      </c>
      <c r="L81" s="20" t="str">
        <v/>
      </c>
      <c r="M81" s="20" t="str">
        <v/>
      </c>
      <c r="N81" s="47" t="str">
        <v/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30</v>
      </c>
    </row>
    <row r="82" spans="1:27" ht="17" x14ac:dyDescent="0.25">
      <c r="A82" s="28">
        <v>15</v>
      </c>
      <c r="B82" s="29" t="str">
        <v>xRUA85x</v>
      </c>
      <c r="C82" s="12" t="str">
        <v/>
      </c>
      <c r="D82" s="12">
        <v>12</v>
      </c>
      <c r="E82" s="12" t="str">
        <v/>
      </c>
      <c r="F82" s="47">
        <v>12</v>
      </c>
      <c r="G82" s="20" t="str">
        <v/>
      </c>
      <c r="H82" s="20">
        <v>16</v>
      </c>
      <c r="I82" s="20" t="str">
        <v/>
      </c>
      <c r="J82" s="47">
        <v>16</v>
      </c>
      <c r="K82" s="20" t="str">
        <v/>
      </c>
      <c r="L82" s="20" t="str">
        <v/>
      </c>
      <c r="M82" s="20" t="str">
        <v/>
      </c>
      <c r="N82" s="47" t="str">
        <v/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28</v>
      </c>
    </row>
    <row r="83" spans="1:27" ht="17" x14ac:dyDescent="0.25">
      <c r="A83" s="28">
        <v>16</v>
      </c>
      <c r="B83" s="30" t="str">
        <v>Mikedb__91__</v>
      </c>
      <c r="C83" s="12" t="str">
        <v/>
      </c>
      <c r="D83" s="12">
        <v>12</v>
      </c>
      <c r="E83" s="12" t="str">
        <v/>
      </c>
      <c r="F83" s="47">
        <v>12</v>
      </c>
      <c r="G83" s="12" t="str">
        <v/>
      </c>
      <c r="H83" s="12">
        <v>14</v>
      </c>
      <c r="I83" s="12" t="str">
        <v/>
      </c>
      <c r="J83" s="47">
        <v>14</v>
      </c>
      <c r="K83" s="12" t="str">
        <v/>
      </c>
      <c r="L83" s="12" t="str">
        <v/>
      </c>
      <c r="M83" s="12" t="str">
        <v/>
      </c>
      <c r="N83" s="47" t="str">
        <v/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26</v>
      </c>
    </row>
    <row r="84" spans="1:27" ht="17" x14ac:dyDescent="0.25">
      <c r="A84" s="28">
        <v>17</v>
      </c>
      <c r="B84" s="29" t="str">
        <v>GTRC_Frenkmik93</v>
      </c>
      <c r="C84" s="12" t="str">
        <v/>
      </c>
      <c r="D84" s="12">
        <v>12</v>
      </c>
      <c r="E84" s="12">
        <v>1</v>
      </c>
      <c r="F84" s="47">
        <v>13</v>
      </c>
      <c r="G84" s="12" t="str">
        <v/>
      </c>
      <c r="H84" s="12">
        <v>12</v>
      </c>
      <c r="I84" s="12" t="str">
        <v/>
      </c>
      <c r="J84" s="47">
        <v>12</v>
      </c>
      <c r="K84" s="12" t="str">
        <v/>
      </c>
      <c r="L84" s="12" t="str">
        <v/>
      </c>
      <c r="M84" s="12" t="str">
        <v/>
      </c>
      <c r="N84" s="47" t="str">
        <v/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25</v>
      </c>
    </row>
    <row r="85" spans="1:27" ht="17" x14ac:dyDescent="0.25">
      <c r="A85" s="28">
        <v>18</v>
      </c>
      <c r="B85" s="29" t="str">
        <v>Rupetheking</v>
      </c>
      <c r="C85" s="12" t="str">
        <v/>
      </c>
      <c r="D85" s="12">
        <v>3</v>
      </c>
      <c r="E85" s="12" t="str">
        <v/>
      </c>
      <c r="F85" s="47">
        <v>3</v>
      </c>
      <c r="G85" s="12" t="str">
        <v/>
      </c>
      <c r="H85" s="12">
        <v>20</v>
      </c>
      <c r="I85" s="12" t="str">
        <v/>
      </c>
      <c r="J85" s="47">
        <v>20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23</v>
      </c>
    </row>
    <row r="86" spans="1:27" ht="17" x14ac:dyDescent="0.25">
      <c r="A86" s="28">
        <v>19</v>
      </c>
      <c r="B86" s="29" t="str">
        <v>jet_morello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10</v>
      </c>
      <c r="I86" s="12" t="str">
        <v/>
      </c>
      <c r="J86" s="47">
        <v>10</v>
      </c>
      <c r="K86" s="12" t="str">
        <v/>
      </c>
      <c r="L86" s="12" t="str">
        <v/>
      </c>
      <c r="M86" s="12" t="str">
        <v/>
      </c>
      <c r="N86" s="47" t="str">
        <v/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22</v>
      </c>
    </row>
    <row r="87" spans="1:27" ht="17" x14ac:dyDescent="0.25">
      <c r="A87" s="28">
        <v>20</v>
      </c>
      <c r="B87" s="29" t="str">
        <v>TheGuarny</v>
      </c>
      <c r="C87" s="12" t="str">
        <v/>
      </c>
      <c r="D87" s="12">
        <v>20</v>
      </c>
      <c r="E87" s="12" t="str">
        <v/>
      </c>
      <c r="F87" s="47">
        <v>20</v>
      </c>
      <c r="G87" s="12" t="str">
        <v/>
      </c>
      <c r="H87" s="12" t="str">
        <v/>
      </c>
      <c r="I87" s="12" t="str">
        <v/>
      </c>
      <c r="J87" s="47" t="str">
        <v/>
      </c>
      <c r="K87" s="12" t="str">
        <v/>
      </c>
      <c r="L87" s="12" t="str">
        <v/>
      </c>
      <c r="M87" s="12" t="str">
        <v/>
      </c>
      <c r="N87" s="47" t="str">
        <v/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20</v>
      </c>
    </row>
    <row r="88" spans="1:27" ht="17" x14ac:dyDescent="0.25">
      <c r="A88" s="28">
        <v>21</v>
      </c>
      <c r="B88" s="29" t="str">
        <v>andvea_99</v>
      </c>
      <c r="C88" s="33" t="str">
        <v/>
      </c>
      <c r="D88" s="33" t="str">
        <v/>
      </c>
      <c r="E88" s="33" t="str">
        <v/>
      </c>
      <c r="F88" s="51" t="str">
        <v/>
      </c>
      <c r="G88" s="33" t="str">
        <v/>
      </c>
      <c r="H88" s="33">
        <v>20</v>
      </c>
      <c r="I88" s="33" t="str">
        <v/>
      </c>
      <c r="J88" s="51">
        <v>20</v>
      </c>
      <c r="K88" s="32" t="str">
        <v/>
      </c>
      <c r="L88" s="32" t="str">
        <v/>
      </c>
      <c r="M88" s="32" t="str">
        <v/>
      </c>
      <c r="N88" s="51" t="str">
        <v/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20</v>
      </c>
    </row>
    <row r="89" spans="1:27" ht="17" x14ac:dyDescent="0.25">
      <c r="A89" s="28">
        <v>22</v>
      </c>
      <c r="B89" s="29" t="str">
        <v>Pennysss71</v>
      </c>
      <c r="C89" s="12" t="str">
        <v/>
      </c>
      <c r="D89" s="12" t="str">
        <v/>
      </c>
      <c r="E89" s="12" t="str">
        <v/>
      </c>
      <c r="F89" s="47" t="str">
        <v/>
      </c>
      <c r="G89" s="12" t="str">
        <v/>
      </c>
      <c r="H89" s="12">
        <v>20</v>
      </c>
      <c r="I89" s="12" t="str">
        <v/>
      </c>
      <c r="J89" s="47">
        <v>20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20</v>
      </c>
    </row>
    <row r="90" spans="1:27" ht="17" x14ac:dyDescent="0.25">
      <c r="A90" s="28">
        <v>23</v>
      </c>
      <c r="B90" s="30" t="str">
        <v>Tonyroto74</v>
      </c>
      <c r="C90" s="43" t="str">
        <v/>
      </c>
      <c r="D90" s="43">
        <v>10</v>
      </c>
      <c r="E90" s="43" t="str">
        <v/>
      </c>
      <c r="F90" s="48">
        <v>10</v>
      </c>
      <c r="G90" s="43" t="str">
        <v/>
      </c>
      <c r="H90" s="43">
        <v>10</v>
      </c>
      <c r="I90" s="43" t="str">
        <v/>
      </c>
      <c r="J90" s="48">
        <v>10</v>
      </c>
      <c r="K90" s="43" t="str">
        <v/>
      </c>
      <c r="L90" s="43" t="str">
        <v/>
      </c>
      <c r="M90" s="43" t="str">
        <v/>
      </c>
      <c r="N90" s="48" t="str">
        <v/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20</v>
      </c>
    </row>
    <row r="91" spans="1:27" ht="17" x14ac:dyDescent="0.25">
      <c r="A91" s="28">
        <v>24</v>
      </c>
      <c r="B91" s="29" t="str">
        <v>TLM_Sicily22</v>
      </c>
      <c r="C91" s="20" t="str">
        <v/>
      </c>
      <c r="D91" s="20" t="str">
        <v/>
      </c>
      <c r="E91" s="20" t="str">
        <v/>
      </c>
      <c r="F91" s="47" t="str">
        <v/>
      </c>
      <c r="G91" s="12" t="str">
        <v/>
      </c>
      <c r="H91" s="12">
        <v>18</v>
      </c>
      <c r="I91" s="12" t="str">
        <v/>
      </c>
      <c r="J91" s="47">
        <v>18</v>
      </c>
      <c r="K91" s="12" t="str">
        <v/>
      </c>
      <c r="L91" s="12" t="str">
        <v/>
      </c>
      <c r="M91" s="12" t="str">
        <v/>
      </c>
      <c r="N91" s="47" t="str">
        <v/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18</v>
      </c>
    </row>
    <row r="92" spans="1:27" ht="17" x14ac:dyDescent="0.25">
      <c r="A92" s="28">
        <v>25</v>
      </c>
      <c r="B92" s="29" t="str">
        <v>TLM_michaelfox12</v>
      </c>
      <c r="C92" s="12" t="str">
        <v/>
      </c>
      <c r="D92" s="12">
        <v>6</v>
      </c>
      <c r="E92" s="12" t="str">
        <v/>
      </c>
      <c r="F92" s="47">
        <v>6</v>
      </c>
      <c r="G92" s="12" t="str">
        <v/>
      </c>
      <c r="H92" s="12">
        <v>12</v>
      </c>
      <c r="I92" s="12" t="str">
        <v/>
      </c>
      <c r="J92" s="47">
        <v>12</v>
      </c>
      <c r="K92" s="20" t="str">
        <v/>
      </c>
      <c r="L92" s="20" t="str">
        <v/>
      </c>
      <c r="M92" s="20" t="str">
        <v/>
      </c>
      <c r="N92" s="47" t="str">
        <v/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18</v>
      </c>
    </row>
    <row r="93" spans="1:27" ht="17" x14ac:dyDescent="0.25">
      <c r="A93" s="28">
        <v>26</v>
      </c>
      <c r="B93" s="29" t="str">
        <v>Freshofthezone</v>
      </c>
      <c r="C93" s="49" t="str">
        <v/>
      </c>
      <c r="D93" s="20">
        <v>8</v>
      </c>
      <c r="E93" s="20" t="str">
        <v/>
      </c>
      <c r="F93" s="47">
        <v>8</v>
      </c>
      <c r="G93" s="12" t="str">
        <v/>
      </c>
      <c r="H93" s="12">
        <v>10</v>
      </c>
      <c r="I93" s="12" t="str">
        <v/>
      </c>
      <c r="J93" s="47">
        <v>10</v>
      </c>
      <c r="K93" s="12" t="str">
        <v/>
      </c>
      <c r="L93" s="12" t="str">
        <v/>
      </c>
      <c r="M93" s="12" t="str">
        <v/>
      </c>
      <c r="N93" s="47" t="str">
        <v/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18</v>
      </c>
    </row>
    <row r="94" spans="1:27" ht="17" x14ac:dyDescent="0.25">
      <c r="A94" s="28">
        <v>27</v>
      </c>
      <c r="B94" s="29" t="str">
        <v>TLM_wid83</v>
      </c>
      <c r="C94" s="20" t="str">
        <v/>
      </c>
      <c r="D94" s="20">
        <v>18</v>
      </c>
      <c r="E94" s="20" t="str">
        <v/>
      </c>
      <c r="F94" s="47">
        <v>18</v>
      </c>
      <c r="G94" s="12" t="str">
        <v/>
      </c>
      <c r="H94" s="12" t="str">
        <v/>
      </c>
      <c r="I94" s="12" t="str">
        <v/>
      </c>
      <c r="J94" s="47" t="str">
        <v/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18</v>
      </c>
    </row>
    <row r="95" spans="1:27" ht="17" x14ac:dyDescent="0.25">
      <c r="A95" s="28">
        <v>28</v>
      </c>
      <c r="B95" s="29" t="str">
        <v>Selpa974</v>
      </c>
      <c r="C95" s="20" t="str">
        <v/>
      </c>
      <c r="D95" s="20">
        <v>16</v>
      </c>
      <c r="E95" s="20" t="str">
        <v/>
      </c>
      <c r="F95" s="47">
        <v>16</v>
      </c>
      <c r="G95" s="20" t="str">
        <v/>
      </c>
      <c r="H95" s="20" t="str">
        <v/>
      </c>
      <c r="I95" s="20" t="str">
        <v/>
      </c>
      <c r="J95" s="47" t="str">
        <v/>
      </c>
      <c r="K95" s="20" t="str">
        <v/>
      </c>
      <c r="L95" s="20" t="str">
        <v/>
      </c>
      <c r="M95" s="20" t="str">
        <v/>
      </c>
      <c r="N95" s="47" t="str">
        <v/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16</v>
      </c>
    </row>
    <row r="96" spans="1:27" ht="17" x14ac:dyDescent="0.25">
      <c r="A96" s="28">
        <v>29</v>
      </c>
      <c r="B96" s="29" t="str">
        <v>GTRC-ALERASATO74</v>
      </c>
      <c r="C96" s="20" t="str">
        <v/>
      </c>
      <c r="D96" s="20">
        <v>8</v>
      </c>
      <c r="E96" s="20" t="str">
        <v/>
      </c>
      <c r="F96" s="47">
        <v>8</v>
      </c>
      <c r="G96" s="20" t="str">
        <v/>
      </c>
      <c r="H96" s="20">
        <v>8</v>
      </c>
      <c r="I96" s="20" t="str">
        <v/>
      </c>
      <c r="J96" s="47">
        <v>8</v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16</v>
      </c>
    </row>
    <row r="97" spans="1:27" ht="17" x14ac:dyDescent="0.25">
      <c r="A97" s="28">
        <v>30</v>
      </c>
      <c r="B97" s="29" t="str">
        <v>GTRC_AMALA_ETNA</v>
      </c>
      <c r="C97" s="12" t="str">
        <v/>
      </c>
      <c r="D97" s="12">
        <v>10</v>
      </c>
      <c r="E97" s="12" t="str">
        <v/>
      </c>
      <c r="F97" s="47">
        <v>10</v>
      </c>
      <c r="G97" s="20" t="str">
        <v/>
      </c>
      <c r="H97" s="20">
        <v>6</v>
      </c>
      <c r="I97" s="20" t="str">
        <v/>
      </c>
      <c r="J97" s="47">
        <v>6</v>
      </c>
      <c r="K97" s="20" t="str">
        <v/>
      </c>
      <c r="L97" s="20" t="str">
        <v/>
      </c>
      <c r="M97" s="20" t="str">
        <v/>
      </c>
      <c r="N97" s="47" t="str">
        <v/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16</v>
      </c>
    </row>
    <row r="98" spans="1:27" ht="17" x14ac:dyDescent="0.25">
      <c r="A98" s="28">
        <v>31</v>
      </c>
      <c r="B98" s="29" t="str">
        <v>Liotru1979</v>
      </c>
      <c r="C98" s="12" t="str">
        <v/>
      </c>
      <c r="D98" s="12">
        <v>8</v>
      </c>
      <c r="E98" s="12" t="str">
        <v/>
      </c>
      <c r="F98" s="47">
        <v>8</v>
      </c>
      <c r="G98" s="12" t="str">
        <v/>
      </c>
      <c r="H98" s="12">
        <v>8</v>
      </c>
      <c r="I98" s="12" t="str">
        <v/>
      </c>
      <c r="J98" s="47">
        <v>8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16</v>
      </c>
    </row>
    <row r="99" spans="1:27" ht="17" x14ac:dyDescent="0.25">
      <c r="A99" s="28">
        <v>32</v>
      </c>
      <c r="B99" s="29" t="str">
        <v>madonte</v>
      </c>
      <c r="C99" s="12" t="str">
        <v/>
      </c>
      <c r="D99" s="12">
        <v>10</v>
      </c>
      <c r="E99" s="12" t="str">
        <v/>
      </c>
      <c r="F99" s="47">
        <v>10</v>
      </c>
      <c r="G99" s="12" t="str">
        <v/>
      </c>
      <c r="H99" s="12">
        <v>6</v>
      </c>
      <c r="I99" s="12" t="str">
        <v/>
      </c>
      <c r="J99" s="47">
        <v>6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16</v>
      </c>
    </row>
    <row r="100" spans="1:27" ht="17" x14ac:dyDescent="0.25">
      <c r="A100" s="28">
        <v>33</v>
      </c>
      <c r="B100" s="29" t="str">
        <v>Silentium884</v>
      </c>
      <c r="C100" s="12" t="str">
        <v/>
      </c>
      <c r="D100" s="12">
        <v>16</v>
      </c>
      <c r="E100" s="12" t="str">
        <v/>
      </c>
      <c r="F100" s="47">
        <v>16</v>
      </c>
      <c r="G100" s="12" t="str">
        <v/>
      </c>
      <c r="H100" s="12" t="str">
        <v/>
      </c>
      <c r="I100" s="12" t="str">
        <v/>
      </c>
      <c r="J100" s="47" t="str">
        <v/>
      </c>
      <c r="K100" s="12" t="str">
        <v/>
      </c>
      <c r="L100" s="12" t="str">
        <v/>
      </c>
      <c r="M100" s="12" t="str">
        <v/>
      </c>
      <c r="N100" s="47" t="str">
        <v/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16</v>
      </c>
    </row>
    <row r="101" spans="1:27" ht="17" x14ac:dyDescent="0.25">
      <c r="A101" s="28">
        <v>34</v>
      </c>
      <c r="B101" s="29" t="str">
        <v>Dani_CT1946</v>
      </c>
      <c r="C101" s="12" t="str">
        <v/>
      </c>
      <c r="D101" s="12">
        <v>8</v>
      </c>
      <c r="E101" s="12" t="str">
        <v/>
      </c>
      <c r="F101" s="47">
        <v>8</v>
      </c>
      <c r="G101" s="12" t="str">
        <v/>
      </c>
      <c r="H101" s="12">
        <v>8</v>
      </c>
      <c r="I101" s="12" t="str">
        <v/>
      </c>
      <c r="J101" s="47">
        <v>8</v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16</v>
      </c>
    </row>
    <row r="102" spans="1:27" ht="17" x14ac:dyDescent="0.25">
      <c r="A102" s="28">
        <v>35</v>
      </c>
      <c r="B102" s="29" t="str">
        <v>Stefanostefanof</v>
      </c>
      <c r="C102" s="12" t="str">
        <v/>
      </c>
      <c r="D102" s="12">
        <v>10</v>
      </c>
      <c r="E102" s="12" t="str">
        <v/>
      </c>
      <c r="F102" s="47">
        <v>10</v>
      </c>
      <c r="G102" s="12" t="str">
        <v/>
      </c>
      <c r="H102" s="12">
        <v>5</v>
      </c>
      <c r="I102" s="12" t="str">
        <v/>
      </c>
      <c r="J102" s="47">
        <v>5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15</v>
      </c>
    </row>
    <row r="103" spans="1:27" ht="18" x14ac:dyDescent="0.25">
      <c r="A103" s="28">
        <v>36</v>
      </c>
      <c r="B103" s="58" t="str">
        <v>DCT-bazzo</v>
      </c>
      <c r="C103" s="12" t="str">
        <v/>
      </c>
      <c r="D103" s="12">
        <v>14</v>
      </c>
      <c r="E103" s="12" t="str">
        <v/>
      </c>
      <c r="F103" s="47">
        <v>14</v>
      </c>
      <c r="G103" s="12" t="str">
        <v/>
      </c>
      <c r="H103" s="12" t="str">
        <v/>
      </c>
      <c r="I103" s="12" t="str">
        <v/>
      </c>
      <c r="J103" s="47" t="str">
        <v/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14</v>
      </c>
    </row>
    <row r="104" spans="1:27" ht="17" x14ac:dyDescent="0.25">
      <c r="A104" s="28">
        <v>37</v>
      </c>
      <c r="B104" s="29" t="str">
        <v>RMT_GEFF-21</v>
      </c>
      <c r="C104" s="12" t="str">
        <v/>
      </c>
      <c r="D104" s="12">
        <v>14</v>
      </c>
      <c r="E104" s="12" t="str">
        <v/>
      </c>
      <c r="F104" s="47">
        <v>14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14</v>
      </c>
    </row>
    <row r="105" spans="1:27" ht="17" x14ac:dyDescent="0.25">
      <c r="A105" s="28">
        <v>38</v>
      </c>
      <c r="B105" s="29" t="str">
        <v>Talsigiano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13</v>
      </c>
    </row>
    <row r="106" spans="1:27" ht="17" x14ac:dyDescent="0.25">
      <c r="A106" s="28">
        <v>39</v>
      </c>
      <c r="B106" s="29" t="str">
        <v>Blokkobubbles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 t="str">
        <v/>
      </c>
      <c r="M106" s="12" t="str">
        <v/>
      </c>
      <c r="N106" s="47" t="str">
        <v/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11</v>
      </c>
    </row>
    <row r="107" spans="1:27" ht="17" x14ac:dyDescent="0.25">
      <c r="A107" s="28">
        <v>40</v>
      </c>
      <c r="B107" s="29" t="str">
        <v>Cjcerbola</v>
      </c>
      <c r="C107" s="43" t="str">
        <v/>
      </c>
      <c r="D107" s="43">
        <v>6</v>
      </c>
      <c r="E107" s="43" t="str">
        <v/>
      </c>
      <c r="F107" s="48">
        <v>6</v>
      </c>
      <c r="G107" s="43" t="str">
        <v/>
      </c>
      <c r="H107" s="43">
        <v>5</v>
      </c>
      <c r="I107" s="43" t="str">
        <v/>
      </c>
      <c r="J107" s="48">
        <v>5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11</v>
      </c>
    </row>
    <row r="108" spans="1:27" ht="17" x14ac:dyDescent="0.25">
      <c r="A108" s="28">
        <v>41</v>
      </c>
      <c r="B108" s="30" t="str">
        <v>TeoDaniricky2000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6</v>
      </c>
      <c r="I108" s="12" t="str">
        <v/>
      </c>
      <c r="J108" s="47">
        <v>6</v>
      </c>
      <c r="K108" s="12" t="str">
        <v/>
      </c>
      <c r="L108" s="12" t="str">
        <v/>
      </c>
      <c r="M108" s="12" t="str">
        <v/>
      </c>
      <c r="N108" s="47" t="str">
        <v/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10</v>
      </c>
    </row>
    <row r="109" spans="1:27" ht="17" x14ac:dyDescent="0.25">
      <c r="A109" s="28">
        <v>42</v>
      </c>
      <c r="B109" s="29" t="str">
        <v>Dimaaa66</v>
      </c>
      <c r="C109" s="12" t="str">
        <v/>
      </c>
      <c r="D109" s="12">
        <v>6</v>
      </c>
      <c r="E109" s="12" t="str">
        <v/>
      </c>
      <c r="F109" s="47">
        <v>6</v>
      </c>
      <c r="G109" s="12" t="str">
        <v/>
      </c>
      <c r="H109" s="12">
        <v>4</v>
      </c>
      <c r="I109" s="12" t="str">
        <v/>
      </c>
      <c r="J109" s="47">
        <v>4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10</v>
      </c>
    </row>
    <row r="110" spans="1:27" ht="17" x14ac:dyDescent="0.25">
      <c r="A110" s="28">
        <v>43</v>
      </c>
      <c r="B110" s="29" t="str">
        <v>Assemazz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>
        <v>4</v>
      </c>
      <c r="I110" s="12" t="str">
        <v/>
      </c>
      <c r="J110" s="47">
        <v>4</v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9</v>
      </c>
    </row>
    <row r="111" spans="1:27" ht="17" x14ac:dyDescent="0.25">
      <c r="A111" s="28">
        <v>44</v>
      </c>
      <c r="B111" s="29" t="str">
        <v>recidivo92</v>
      </c>
      <c r="C111" s="20" t="str">
        <v/>
      </c>
      <c r="D111" s="20">
        <v>3</v>
      </c>
      <c r="E111" s="20" t="str">
        <v/>
      </c>
      <c r="F111" s="47">
        <v>3</v>
      </c>
      <c r="G111" s="12" t="str">
        <v/>
      </c>
      <c r="H111" s="12">
        <v>6</v>
      </c>
      <c r="I111" s="12" t="str">
        <v/>
      </c>
      <c r="J111" s="47">
        <v>6</v>
      </c>
      <c r="K111" s="20" t="str">
        <v/>
      </c>
      <c r="L111" s="20" t="str">
        <v/>
      </c>
      <c r="M111" s="20" t="str">
        <v/>
      </c>
      <c r="N111" s="47" t="str">
        <v/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9</v>
      </c>
    </row>
    <row r="112" spans="1:27" ht="17" x14ac:dyDescent="0.25">
      <c r="A112" s="28">
        <v>45</v>
      </c>
      <c r="B112" s="29" t="str">
        <v>jack-187-jack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 t="str">
        <v/>
      </c>
      <c r="M112" s="20" t="str">
        <v/>
      </c>
      <c r="N112" s="47" t="str">
        <v/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8</v>
      </c>
    </row>
    <row r="113" spans="1:27" ht="17" x14ac:dyDescent="0.25">
      <c r="A113" s="28">
        <v>46</v>
      </c>
      <c r="B113" s="29" t="str">
        <v>mirkozaffaron296</v>
      </c>
      <c r="C113" s="20" t="str">
        <v/>
      </c>
      <c r="D113" s="20">
        <v>4</v>
      </c>
      <c r="E113" s="20" t="str">
        <v/>
      </c>
      <c r="F113" s="47">
        <v>4</v>
      </c>
      <c r="G113" s="20" t="str">
        <v/>
      </c>
      <c r="H113" s="20">
        <v>4</v>
      </c>
      <c r="I113" s="20" t="str">
        <v/>
      </c>
      <c r="J113" s="47">
        <v>4</v>
      </c>
      <c r="K113" s="20" t="str">
        <v/>
      </c>
      <c r="L113" s="20" t="str">
        <v/>
      </c>
      <c r="M113" s="20" t="str">
        <v/>
      </c>
      <c r="N113" s="47" t="str">
        <v/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8</v>
      </c>
    </row>
    <row r="114" spans="1:27" ht="17" x14ac:dyDescent="0.25">
      <c r="A114" s="28">
        <v>47</v>
      </c>
      <c r="B114" s="29" t="str">
        <v>mettiukc</v>
      </c>
      <c r="C114" s="12" t="str">
        <v/>
      </c>
      <c r="D114" s="12">
        <v>5</v>
      </c>
      <c r="E114" s="12" t="str">
        <v/>
      </c>
      <c r="F114" s="47">
        <v>5</v>
      </c>
      <c r="G114" s="20" t="str">
        <v/>
      </c>
      <c r="H114" s="20">
        <v>3</v>
      </c>
      <c r="I114" s="20" t="str">
        <v/>
      </c>
      <c r="J114" s="47">
        <v>3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8</v>
      </c>
    </row>
    <row r="115" spans="1:27" ht="17" x14ac:dyDescent="0.25">
      <c r="A115" s="28">
        <v>48</v>
      </c>
      <c r="B115" s="30" t="str">
        <v>Rikas78</v>
      </c>
      <c r="C115" s="12" t="str">
        <v/>
      </c>
      <c r="D115" s="12">
        <v>2</v>
      </c>
      <c r="E115" s="12" t="str">
        <v/>
      </c>
      <c r="F115" s="47">
        <v>2</v>
      </c>
      <c r="G115" s="12" t="str">
        <v/>
      </c>
      <c r="H115" s="12">
        <v>5</v>
      </c>
      <c r="I115" s="12" t="str">
        <v/>
      </c>
      <c r="J115" s="47">
        <v>5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7</v>
      </c>
    </row>
    <row r="116" spans="1:27" ht="17" x14ac:dyDescent="0.25">
      <c r="A116" s="28">
        <v>49</v>
      </c>
      <c r="B116" s="29" t="str">
        <v>Costanzo-Mirko90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2</v>
      </c>
      <c r="I116" s="12" t="str">
        <v/>
      </c>
      <c r="J116" s="47">
        <v>2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6</v>
      </c>
    </row>
    <row r="117" spans="1:27" ht="17" x14ac:dyDescent="0.25">
      <c r="A117" s="28">
        <v>50</v>
      </c>
      <c r="B117" s="29" t="str">
        <v>Mancinelli2002</v>
      </c>
      <c r="C117" s="12" t="str">
        <v/>
      </c>
      <c r="D117" s="12">
        <v>2</v>
      </c>
      <c r="E117" s="12" t="str">
        <v/>
      </c>
      <c r="F117" s="47">
        <v>2</v>
      </c>
      <c r="G117" s="12" t="str">
        <v/>
      </c>
      <c r="H117" s="12">
        <v>3</v>
      </c>
      <c r="I117" s="12" t="str">
        <v/>
      </c>
      <c r="J117" s="47">
        <v>3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5</v>
      </c>
    </row>
    <row r="118" spans="1:27" ht="17" x14ac:dyDescent="0.25">
      <c r="A118" s="28">
        <v>51</v>
      </c>
      <c r="B118" s="29" t="str">
        <v>TLM_Verce90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>
        <v>2</v>
      </c>
      <c r="I118" s="12" t="str">
        <v/>
      </c>
      <c r="J118" s="47">
        <v>2</v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5</v>
      </c>
    </row>
    <row r="119" spans="1:27" ht="17" x14ac:dyDescent="0.25">
      <c r="A119" s="28">
        <v>52</v>
      </c>
      <c r="B119" s="29" t="str">
        <v>TLM_CaLiGoLa</v>
      </c>
      <c r="C119" s="12" t="str">
        <v/>
      </c>
      <c r="D119" s="12">
        <v>5</v>
      </c>
      <c r="E119" s="12" t="str">
        <v/>
      </c>
      <c r="F119" s="47">
        <v>5</v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5</v>
      </c>
    </row>
    <row r="120" spans="1:27" ht="17" x14ac:dyDescent="0.25">
      <c r="A120" s="28">
        <v>53</v>
      </c>
      <c r="B120" s="29" t="str">
        <v>Isnotacrime</v>
      </c>
      <c r="C120" s="33" t="str">
        <v/>
      </c>
      <c r="D120" s="33">
        <v>3</v>
      </c>
      <c r="E120" s="33" t="str">
        <v/>
      </c>
      <c r="F120" s="51">
        <v>3</v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3</v>
      </c>
    </row>
    <row r="121" spans="1:27" ht="17" x14ac:dyDescent="0.25">
      <c r="A121" s="28">
        <v>54</v>
      </c>
      <c r="B121" s="29" t="str">
        <v>Monster_Nova_RS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>Miciona75</v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E124"/>
  <sheetViews>
    <sheetView topLeftCell="A29" workbookViewId="0">
      <selection activeCell="C36" sqref="C36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27" width="3.5" customWidth="1"/>
    <col min="28" max="28" width="4.1640625" customWidth="1"/>
  </cols>
  <sheetData>
    <row r="1" spans="1:28" ht="33" customHeight="1" x14ac:dyDescent="0.2">
      <c r="A1" s="108" t="s">
        <v>384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</row>
    <row r="2" spans="1:28" ht="19" x14ac:dyDescent="0.25">
      <c r="A2" s="107" t="s">
        <v>396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</row>
    <row r="3" spans="1:28" ht="22" customHeight="1" x14ac:dyDescent="0.2">
      <c r="A3" s="100" t="s">
        <v>19</v>
      </c>
      <c r="B3" s="100" t="s">
        <v>14</v>
      </c>
      <c r="C3" s="109" t="s">
        <v>385</v>
      </c>
      <c r="D3" s="93" t="s">
        <v>47</v>
      </c>
      <c r="E3" s="94"/>
      <c r="F3" s="94"/>
      <c r="G3" s="95"/>
      <c r="H3" s="93" t="s">
        <v>40</v>
      </c>
      <c r="I3" s="94"/>
      <c r="J3" s="94"/>
      <c r="K3" s="95"/>
      <c r="L3" s="93" t="s">
        <v>48</v>
      </c>
      <c r="M3" s="94"/>
      <c r="N3" s="94"/>
      <c r="O3" s="95"/>
      <c r="P3" s="93" t="s">
        <v>39</v>
      </c>
      <c r="Q3" s="94"/>
      <c r="R3" s="94"/>
      <c r="S3" s="95"/>
      <c r="T3" s="93" t="s">
        <v>41</v>
      </c>
      <c r="U3" s="94"/>
      <c r="V3" s="94"/>
      <c r="W3" s="95"/>
      <c r="X3" s="93" t="s">
        <v>49</v>
      </c>
      <c r="Y3" s="94"/>
      <c r="Z3" s="94"/>
      <c r="AA3" s="95"/>
      <c r="AB3" s="88" t="s">
        <v>34</v>
      </c>
    </row>
    <row r="4" spans="1:28" ht="27" x14ac:dyDescent="0.2">
      <c r="A4" s="100"/>
      <c r="B4" s="100"/>
      <c r="C4" s="110"/>
      <c r="D4" s="21" t="s">
        <v>17</v>
      </c>
      <c r="E4" s="22" t="s">
        <v>1</v>
      </c>
      <c r="F4" s="23" t="s">
        <v>18</v>
      </c>
      <c r="G4" s="50" t="s">
        <v>35</v>
      </c>
      <c r="H4" s="21" t="s">
        <v>17</v>
      </c>
      <c r="I4" s="22" t="s">
        <v>1</v>
      </c>
      <c r="J4" s="23" t="s">
        <v>18</v>
      </c>
      <c r="K4" s="50" t="s">
        <v>35</v>
      </c>
      <c r="L4" s="21" t="s">
        <v>17</v>
      </c>
      <c r="M4" s="22" t="s">
        <v>1</v>
      </c>
      <c r="N4" s="23" t="s">
        <v>18</v>
      </c>
      <c r="O4" s="50" t="s">
        <v>35</v>
      </c>
      <c r="P4" s="21" t="s">
        <v>17</v>
      </c>
      <c r="Q4" s="22" t="s">
        <v>1</v>
      </c>
      <c r="R4" s="23" t="s">
        <v>18</v>
      </c>
      <c r="S4" s="50" t="s">
        <v>35</v>
      </c>
      <c r="T4" s="21" t="s">
        <v>17</v>
      </c>
      <c r="U4" s="22" t="s">
        <v>1</v>
      </c>
      <c r="V4" s="23" t="s">
        <v>18</v>
      </c>
      <c r="W4" s="50" t="s">
        <v>35</v>
      </c>
      <c r="X4" s="21" t="s">
        <v>17</v>
      </c>
      <c r="Y4" s="22" t="s">
        <v>1</v>
      </c>
      <c r="Z4" s="23" t="s">
        <v>18</v>
      </c>
      <c r="AA4" s="50" t="s">
        <v>35</v>
      </c>
      <c r="AB4" s="88"/>
    </row>
    <row r="5" spans="1:28" ht="20" customHeight="1" x14ac:dyDescent="0.2">
      <c r="A5" s="96" t="s">
        <v>30</v>
      </c>
      <c r="B5" s="97"/>
      <c r="C5" s="63"/>
      <c r="D5" s="39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</row>
    <row r="6" spans="1:28" ht="20" customHeight="1" x14ac:dyDescent="0.2">
      <c r="A6" s="52" t="s">
        <v>2</v>
      </c>
      <c r="B6" s="53" t="str">
        <f>'CLASSIFICA ORDINATA'!B5</f>
        <v>RMT-87-TOMMY</v>
      </c>
      <c r="C6" s="53" t="str">
        <f>VLOOKUP(B6,nomi!B:C,2,FALSE)</f>
        <v>RMT-87-TOMMY</v>
      </c>
      <c r="D6" s="12">
        <v>1</v>
      </c>
      <c r="E6" s="12">
        <v>25</v>
      </c>
      <c r="F6" s="12">
        <v>1</v>
      </c>
      <c r="G6" s="47">
        <v>27</v>
      </c>
      <c r="H6" s="12" t="s">
        <v>44</v>
      </c>
      <c r="I6" s="12" t="s">
        <v>44</v>
      </c>
      <c r="J6" s="12" t="s">
        <v>44</v>
      </c>
      <c r="K6" s="47" t="s">
        <v>44</v>
      </c>
      <c r="L6" s="12" t="s">
        <v>44</v>
      </c>
      <c r="M6" s="12" t="s">
        <v>44</v>
      </c>
      <c r="N6" s="12" t="s">
        <v>44</v>
      </c>
      <c r="O6" s="47" t="s">
        <v>44</v>
      </c>
      <c r="P6" s="12" t="s">
        <v>44</v>
      </c>
      <c r="Q6" s="12" t="s">
        <v>44</v>
      </c>
      <c r="R6" s="12" t="s">
        <v>44</v>
      </c>
      <c r="S6" s="47" t="s">
        <v>44</v>
      </c>
      <c r="T6" s="12" t="s">
        <v>44</v>
      </c>
      <c r="U6" s="12" t="s">
        <v>44</v>
      </c>
      <c r="V6" s="12" t="s">
        <v>44</v>
      </c>
      <c r="W6" s="47" t="s">
        <v>44</v>
      </c>
      <c r="X6" s="12" t="s">
        <v>44</v>
      </c>
      <c r="Y6" s="12" t="s">
        <v>44</v>
      </c>
      <c r="Z6" s="12" t="s">
        <v>44</v>
      </c>
      <c r="AA6" s="47" t="s">
        <v>44</v>
      </c>
      <c r="AB6" s="24">
        <v>27</v>
      </c>
    </row>
    <row r="7" spans="1:28" ht="20" customHeight="1" x14ac:dyDescent="0.2">
      <c r="A7" s="62" t="s">
        <v>3</v>
      </c>
      <c r="B7" s="53" t="str">
        <f>'CLASSIFICA ORDINATA'!B6</f>
        <v>Marco-super-gt</v>
      </c>
      <c r="C7" s="53" t="str">
        <f>VLOOKUP(B7,nomi!B:C,2,FALSE)</f>
        <v>M.Pirrello</v>
      </c>
      <c r="D7" s="12" t="s">
        <v>44</v>
      </c>
      <c r="E7" s="12">
        <v>20</v>
      </c>
      <c r="F7" s="12" t="s">
        <v>44</v>
      </c>
      <c r="G7" s="47">
        <v>20</v>
      </c>
      <c r="H7" s="12" t="s">
        <v>44</v>
      </c>
      <c r="I7" s="12" t="s">
        <v>44</v>
      </c>
      <c r="J7" s="12" t="s">
        <v>44</v>
      </c>
      <c r="K7" s="47" t="s">
        <v>44</v>
      </c>
      <c r="L7" s="12" t="s">
        <v>44</v>
      </c>
      <c r="M7" s="12" t="s">
        <v>44</v>
      </c>
      <c r="N7" s="12" t="s">
        <v>44</v>
      </c>
      <c r="O7" s="47" t="s">
        <v>44</v>
      </c>
      <c r="P7" s="12" t="s">
        <v>44</v>
      </c>
      <c r="Q7" s="12" t="s">
        <v>44</v>
      </c>
      <c r="R7" s="12" t="s">
        <v>44</v>
      </c>
      <c r="S7" s="47" t="s">
        <v>44</v>
      </c>
      <c r="T7" s="12" t="s">
        <v>44</v>
      </c>
      <c r="U7" s="12" t="s">
        <v>44</v>
      </c>
      <c r="V7" s="12" t="s">
        <v>44</v>
      </c>
      <c r="W7" s="47" t="s">
        <v>44</v>
      </c>
      <c r="X7" s="12" t="s">
        <v>44</v>
      </c>
      <c r="Y7" s="12" t="s">
        <v>44</v>
      </c>
      <c r="Z7" s="12" t="s">
        <v>44</v>
      </c>
      <c r="AA7" s="47" t="s">
        <v>44</v>
      </c>
      <c r="AB7" s="24">
        <v>20</v>
      </c>
    </row>
    <row r="8" spans="1:28" ht="20" customHeight="1" x14ac:dyDescent="0.2">
      <c r="A8" s="54" t="s">
        <v>4</v>
      </c>
      <c r="B8" s="53" t="str">
        <f>'CLASSIFICA ORDINATA'!B7</f>
        <v>TLM_Kappa</v>
      </c>
      <c r="C8" s="53" t="str">
        <f>VLOOKUP(B8,nomi!B:C,2,FALSE)</f>
        <v>TLM_Kappa</v>
      </c>
      <c r="D8" s="12" t="s">
        <v>44</v>
      </c>
      <c r="E8" s="12">
        <v>18</v>
      </c>
      <c r="F8" s="12" t="s">
        <v>44</v>
      </c>
      <c r="G8" s="47">
        <v>18</v>
      </c>
      <c r="H8" s="12" t="s">
        <v>44</v>
      </c>
      <c r="I8" s="12" t="s">
        <v>44</v>
      </c>
      <c r="J8" s="12" t="s">
        <v>44</v>
      </c>
      <c r="K8" s="47" t="s">
        <v>44</v>
      </c>
      <c r="L8" s="12" t="s">
        <v>44</v>
      </c>
      <c r="M8" s="12" t="s">
        <v>44</v>
      </c>
      <c r="N8" s="12" t="s">
        <v>44</v>
      </c>
      <c r="O8" s="47" t="s">
        <v>44</v>
      </c>
      <c r="P8" s="12" t="s">
        <v>44</v>
      </c>
      <c r="Q8" s="12" t="s">
        <v>44</v>
      </c>
      <c r="R8" s="12" t="s">
        <v>44</v>
      </c>
      <c r="S8" s="47" t="s">
        <v>44</v>
      </c>
      <c r="T8" s="12" t="s">
        <v>44</v>
      </c>
      <c r="U8" s="12" t="s">
        <v>44</v>
      </c>
      <c r="V8" s="12" t="s">
        <v>44</v>
      </c>
      <c r="W8" s="47" t="s">
        <v>44</v>
      </c>
      <c r="X8" s="12" t="s">
        <v>44</v>
      </c>
      <c r="Y8" s="12" t="s">
        <v>44</v>
      </c>
      <c r="Z8" s="12" t="s">
        <v>44</v>
      </c>
      <c r="AA8" s="47" t="s">
        <v>44</v>
      </c>
      <c r="AB8" s="24">
        <v>18</v>
      </c>
    </row>
    <row r="9" spans="1:28" ht="20" customHeight="1" x14ac:dyDescent="0.2">
      <c r="A9" s="55" t="s">
        <v>5</v>
      </c>
      <c r="B9" s="53" t="str">
        <f>'CLASSIFICA ORDINATA'!B8</f>
        <v>xRUA85x</v>
      </c>
      <c r="C9" s="53" t="str">
        <f>VLOOKUP(B9,nomi!B:C,2,FALSE)</f>
        <v>TLM_Le Rua’</v>
      </c>
      <c r="D9" s="12" t="s">
        <v>44</v>
      </c>
      <c r="E9" s="12">
        <v>16</v>
      </c>
      <c r="F9" s="12" t="s">
        <v>44</v>
      </c>
      <c r="G9" s="47">
        <v>16</v>
      </c>
      <c r="H9" s="12" t="s">
        <v>44</v>
      </c>
      <c r="I9" s="12" t="s">
        <v>44</v>
      </c>
      <c r="J9" s="12" t="s">
        <v>44</v>
      </c>
      <c r="K9" s="47" t="s">
        <v>44</v>
      </c>
      <c r="L9" s="12" t="s">
        <v>44</v>
      </c>
      <c r="M9" s="12" t="s">
        <v>44</v>
      </c>
      <c r="N9" s="12" t="s">
        <v>44</v>
      </c>
      <c r="O9" s="47" t="s">
        <v>44</v>
      </c>
      <c r="P9" s="49" t="s">
        <v>44</v>
      </c>
      <c r="Q9" s="20" t="s">
        <v>44</v>
      </c>
      <c r="R9" s="20" t="s">
        <v>44</v>
      </c>
      <c r="S9" s="47" t="s">
        <v>44</v>
      </c>
      <c r="T9" s="12" t="s">
        <v>44</v>
      </c>
      <c r="U9" s="12" t="s">
        <v>44</v>
      </c>
      <c r="V9" s="12" t="s">
        <v>44</v>
      </c>
      <c r="W9" s="47" t="s">
        <v>44</v>
      </c>
      <c r="X9" s="12" t="s">
        <v>44</v>
      </c>
      <c r="Y9" s="12" t="s">
        <v>44</v>
      </c>
      <c r="Z9" s="12" t="s">
        <v>44</v>
      </c>
      <c r="AA9" s="47" t="s">
        <v>44</v>
      </c>
      <c r="AB9" s="24">
        <v>16</v>
      </c>
    </row>
    <row r="10" spans="1:28" ht="20" customHeight="1" x14ac:dyDescent="0.2">
      <c r="A10" s="55" t="s">
        <v>6</v>
      </c>
      <c r="B10" s="53" t="str">
        <f>'CLASSIFICA ORDINATA'!B9</f>
        <v>Rupetheking</v>
      </c>
      <c r="C10" s="53" t="str">
        <f>VLOOKUP(B10,nomi!B:C,2,FALSE)</f>
        <v xml:space="preserve">Tlm-rupetheking </v>
      </c>
      <c r="D10" s="12" t="s">
        <v>44</v>
      </c>
      <c r="E10" s="12">
        <v>14</v>
      </c>
      <c r="F10" s="12" t="s">
        <v>44</v>
      </c>
      <c r="G10" s="47">
        <v>14</v>
      </c>
      <c r="H10" s="12" t="s">
        <v>44</v>
      </c>
      <c r="I10" s="12" t="s">
        <v>44</v>
      </c>
      <c r="J10" s="12" t="s">
        <v>44</v>
      </c>
      <c r="K10" s="47" t="s">
        <v>44</v>
      </c>
      <c r="L10" s="12" t="s">
        <v>44</v>
      </c>
      <c r="M10" s="12" t="s">
        <v>44</v>
      </c>
      <c r="N10" s="12" t="s">
        <v>44</v>
      </c>
      <c r="O10" s="47" t="s">
        <v>44</v>
      </c>
      <c r="P10" s="12" t="s">
        <v>44</v>
      </c>
      <c r="Q10" s="12" t="s">
        <v>44</v>
      </c>
      <c r="R10" s="12" t="s">
        <v>44</v>
      </c>
      <c r="S10" s="47" t="s">
        <v>44</v>
      </c>
      <c r="T10" s="12" t="s">
        <v>44</v>
      </c>
      <c r="U10" s="12" t="s">
        <v>44</v>
      </c>
      <c r="V10" s="12" t="s">
        <v>44</v>
      </c>
      <c r="W10" s="47" t="s">
        <v>44</v>
      </c>
      <c r="X10" s="12" t="s">
        <v>44</v>
      </c>
      <c r="Y10" s="12" t="s">
        <v>44</v>
      </c>
      <c r="Z10" s="12" t="s">
        <v>44</v>
      </c>
      <c r="AA10" s="47" t="s">
        <v>44</v>
      </c>
      <c r="AB10" s="24">
        <v>14</v>
      </c>
    </row>
    <row r="11" spans="1:28" ht="20" customHeight="1" x14ac:dyDescent="0.2">
      <c r="A11" s="55" t="s">
        <v>7</v>
      </c>
      <c r="B11" s="53" t="str">
        <f>'CLASSIFICA ORDINATA'!B10</f>
        <v>TLM_Sicily22</v>
      </c>
      <c r="C11" s="53" t="str">
        <f>VLOOKUP(B11,nomi!B:C,2,FALSE)</f>
        <v>M.Di Bartolo</v>
      </c>
      <c r="D11" s="12" t="s">
        <v>44</v>
      </c>
      <c r="E11" s="12">
        <v>12</v>
      </c>
      <c r="F11" s="12" t="s">
        <v>44</v>
      </c>
      <c r="G11" s="47">
        <v>12</v>
      </c>
      <c r="H11" s="12" t="s">
        <v>44</v>
      </c>
      <c r="I11" s="12" t="s">
        <v>44</v>
      </c>
      <c r="J11" s="12" t="s">
        <v>44</v>
      </c>
      <c r="K11" s="47" t="s">
        <v>44</v>
      </c>
      <c r="L11" s="20" t="s">
        <v>44</v>
      </c>
      <c r="M11" s="20" t="s">
        <v>44</v>
      </c>
      <c r="N11" s="20" t="s">
        <v>44</v>
      </c>
      <c r="O11" s="47" t="s">
        <v>44</v>
      </c>
      <c r="P11" s="12" t="s">
        <v>44</v>
      </c>
      <c r="Q11" s="12" t="s">
        <v>44</v>
      </c>
      <c r="R11" s="12" t="s">
        <v>44</v>
      </c>
      <c r="S11" s="47" t="s">
        <v>44</v>
      </c>
      <c r="T11" s="12" t="s">
        <v>44</v>
      </c>
      <c r="U11" s="12" t="s">
        <v>44</v>
      </c>
      <c r="V11" s="12" t="s">
        <v>44</v>
      </c>
      <c r="W11" s="47" t="s">
        <v>44</v>
      </c>
      <c r="X11" s="12" t="s">
        <v>44</v>
      </c>
      <c r="Y11" s="12" t="s">
        <v>44</v>
      </c>
      <c r="Z11" s="12" t="s">
        <v>44</v>
      </c>
      <c r="AA11" s="47" t="s">
        <v>44</v>
      </c>
      <c r="AB11" s="24">
        <v>12</v>
      </c>
    </row>
    <row r="12" spans="1:28" ht="20" customHeight="1" x14ac:dyDescent="0.2">
      <c r="A12" s="55" t="s">
        <v>8</v>
      </c>
      <c r="B12" s="53" t="str">
        <f>'CLASSIFICA ORDINATA'!B11</f>
        <v>TLM_michaelfox12</v>
      </c>
      <c r="C12" s="53" t="str">
        <f>VLOOKUP(B12,nomi!B:C,2,FALSE)</f>
        <v>TLM_michaelfox12</v>
      </c>
      <c r="D12" s="12" t="s">
        <v>44</v>
      </c>
      <c r="E12" s="12">
        <v>10</v>
      </c>
      <c r="F12" s="12" t="s">
        <v>44</v>
      </c>
      <c r="G12" s="47">
        <v>10</v>
      </c>
      <c r="H12" s="12" t="s">
        <v>44</v>
      </c>
      <c r="I12" s="12" t="s">
        <v>44</v>
      </c>
      <c r="J12" s="12" t="s">
        <v>44</v>
      </c>
      <c r="K12" s="47" t="s">
        <v>44</v>
      </c>
      <c r="L12" s="12" t="s">
        <v>44</v>
      </c>
      <c r="M12" s="12" t="s">
        <v>44</v>
      </c>
      <c r="N12" s="12" t="s">
        <v>44</v>
      </c>
      <c r="O12" s="47" t="s">
        <v>44</v>
      </c>
      <c r="P12" s="12" t="s">
        <v>44</v>
      </c>
      <c r="Q12" s="12" t="s">
        <v>44</v>
      </c>
      <c r="R12" s="12" t="s">
        <v>44</v>
      </c>
      <c r="S12" s="47" t="s">
        <v>44</v>
      </c>
      <c r="T12" s="12" t="s">
        <v>44</v>
      </c>
      <c r="U12" s="12" t="s">
        <v>44</v>
      </c>
      <c r="V12" s="12" t="s">
        <v>44</v>
      </c>
      <c r="W12" s="47" t="s">
        <v>44</v>
      </c>
      <c r="X12" s="12" t="s">
        <v>44</v>
      </c>
      <c r="Y12" s="12" t="s">
        <v>44</v>
      </c>
      <c r="Z12" s="12" t="s">
        <v>44</v>
      </c>
      <c r="AA12" s="47" t="s">
        <v>44</v>
      </c>
      <c r="AB12" s="24">
        <v>10</v>
      </c>
    </row>
    <row r="13" spans="1:28" ht="20" customHeight="1" x14ac:dyDescent="0.2">
      <c r="A13" s="55" t="s">
        <v>9</v>
      </c>
      <c r="B13" s="53" t="str">
        <f>'CLASSIFICA ORDINATA'!B12</f>
        <v>Selpa974</v>
      </c>
      <c r="C13" s="53" t="str">
        <f>VLOOKUP(B13,nomi!B:C,2,FALSE)</f>
        <v>TLM_Selpa974_#88</v>
      </c>
      <c r="D13" s="12" t="s">
        <v>44</v>
      </c>
      <c r="E13" s="12">
        <v>8</v>
      </c>
      <c r="F13" s="12" t="s">
        <v>44</v>
      </c>
      <c r="G13" s="47">
        <v>8</v>
      </c>
      <c r="H13" s="12" t="s">
        <v>44</v>
      </c>
      <c r="I13" s="12" t="s">
        <v>44</v>
      </c>
      <c r="J13" s="12" t="s">
        <v>44</v>
      </c>
      <c r="K13" s="47" t="s">
        <v>44</v>
      </c>
      <c r="L13" s="12" t="s">
        <v>44</v>
      </c>
      <c r="M13" s="12" t="s">
        <v>44</v>
      </c>
      <c r="N13" s="12" t="s">
        <v>44</v>
      </c>
      <c r="O13" s="47" t="s">
        <v>44</v>
      </c>
      <c r="P13" s="20" t="s">
        <v>44</v>
      </c>
      <c r="Q13" s="20" t="s">
        <v>44</v>
      </c>
      <c r="R13" s="20" t="s">
        <v>44</v>
      </c>
      <c r="S13" s="47" t="s">
        <v>44</v>
      </c>
      <c r="T13" s="12" t="s">
        <v>44</v>
      </c>
      <c r="U13" s="12" t="s">
        <v>44</v>
      </c>
      <c r="V13" s="12" t="s">
        <v>44</v>
      </c>
      <c r="W13" s="47" t="s">
        <v>44</v>
      </c>
      <c r="X13" s="12" t="s">
        <v>44</v>
      </c>
      <c r="Y13" s="12" t="s">
        <v>44</v>
      </c>
      <c r="Z13" s="12" t="s">
        <v>44</v>
      </c>
      <c r="AA13" s="47" t="s">
        <v>44</v>
      </c>
      <c r="AB13" s="24">
        <v>8</v>
      </c>
    </row>
    <row r="14" spans="1:28" ht="20" customHeight="1" x14ac:dyDescent="0.2">
      <c r="A14" s="55" t="s">
        <v>10</v>
      </c>
      <c r="B14" s="53" t="str">
        <f>'CLASSIFICA ORDINATA'!B13</f>
        <v>GTRC-ALERASATO74</v>
      </c>
      <c r="C14" s="53" t="str">
        <f>VLOOKUP(B14,nomi!B:C,2,FALSE)</f>
        <v xml:space="preserve">Gtrc_AleRasato </v>
      </c>
      <c r="D14" s="20" t="s">
        <v>44</v>
      </c>
      <c r="E14" s="20">
        <v>6</v>
      </c>
      <c r="F14" s="20" t="s">
        <v>44</v>
      </c>
      <c r="G14" s="47">
        <v>6</v>
      </c>
      <c r="H14" s="12" t="s">
        <v>44</v>
      </c>
      <c r="I14" s="12" t="s">
        <v>44</v>
      </c>
      <c r="J14" s="12" t="s">
        <v>44</v>
      </c>
      <c r="K14" s="47" t="s">
        <v>44</v>
      </c>
      <c r="L14" s="12" t="s">
        <v>44</v>
      </c>
      <c r="M14" s="12" t="s">
        <v>44</v>
      </c>
      <c r="N14" s="12" t="s">
        <v>44</v>
      </c>
      <c r="O14" s="47" t="s">
        <v>44</v>
      </c>
      <c r="P14" s="12" t="s">
        <v>44</v>
      </c>
      <c r="Q14" s="12" t="s">
        <v>44</v>
      </c>
      <c r="R14" s="12" t="s">
        <v>44</v>
      </c>
      <c r="S14" s="47" t="s">
        <v>44</v>
      </c>
      <c r="T14" s="12" t="s">
        <v>44</v>
      </c>
      <c r="U14" s="12" t="s">
        <v>44</v>
      </c>
      <c r="V14" s="12" t="s">
        <v>44</v>
      </c>
      <c r="W14" s="47" t="s">
        <v>44</v>
      </c>
      <c r="X14" s="12" t="s">
        <v>44</v>
      </c>
      <c r="Y14" s="12" t="s">
        <v>44</v>
      </c>
      <c r="Z14" s="12" t="s">
        <v>44</v>
      </c>
      <c r="AA14" s="47" t="s">
        <v>44</v>
      </c>
      <c r="AB14" s="24">
        <v>6</v>
      </c>
    </row>
    <row r="15" spans="1:28" ht="20" customHeight="1" x14ac:dyDescent="0.2">
      <c r="A15" s="55" t="s">
        <v>11</v>
      </c>
      <c r="B15" s="53" t="str">
        <f>'CLASSIFICA ORDINATA'!B14</f>
        <v>Stefanostefanof</v>
      </c>
      <c r="C15" s="53" t="str">
        <f>VLOOKUP(B15,nomi!B:C,2,FALSE)</f>
        <v>CSC_stefano</v>
      </c>
      <c r="D15" s="12" t="s">
        <v>44</v>
      </c>
      <c r="E15" s="12">
        <v>5</v>
      </c>
      <c r="F15" s="12" t="s">
        <v>44</v>
      </c>
      <c r="G15" s="47">
        <v>5</v>
      </c>
      <c r="H15" s="12" t="s">
        <v>44</v>
      </c>
      <c r="I15" s="12" t="s">
        <v>44</v>
      </c>
      <c r="J15" s="12" t="s">
        <v>44</v>
      </c>
      <c r="K15" s="47" t="s">
        <v>44</v>
      </c>
      <c r="L15" s="20" t="s">
        <v>44</v>
      </c>
      <c r="M15" s="20" t="s">
        <v>44</v>
      </c>
      <c r="N15" s="20" t="s">
        <v>44</v>
      </c>
      <c r="O15" s="47" t="s">
        <v>44</v>
      </c>
      <c r="P15" s="12" t="s">
        <v>44</v>
      </c>
      <c r="Q15" s="12" t="s">
        <v>44</v>
      </c>
      <c r="R15" s="12" t="s">
        <v>44</v>
      </c>
      <c r="S15" s="47" t="s">
        <v>44</v>
      </c>
      <c r="T15" s="20" t="s">
        <v>44</v>
      </c>
      <c r="U15" s="20" t="s">
        <v>44</v>
      </c>
      <c r="V15" s="20" t="s">
        <v>44</v>
      </c>
      <c r="W15" s="47" t="s">
        <v>44</v>
      </c>
      <c r="X15" s="12" t="s">
        <v>44</v>
      </c>
      <c r="Y15" s="12" t="s">
        <v>44</v>
      </c>
      <c r="Z15" s="12" t="s">
        <v>44</v>
      </c>
      <c r="AA15" s="47" t="s">
        <v>44</v>
      </c>
      <c r="AB15" s="24">
        <v>5</v>
      </c>
    </row>
    <row r="16" spans="1:28" ht="20" customHeight="1" x14ac:dyDescent="0.2">
      <c r="A16" s="55" t="s">
        <v>12</v>
      </c>
      <c r="B16" s="53" t="str">
        <f>'CLASSIFICA ORDINATA'!B15</f>
        <v>DCT-bazzo</v>
      </c>
      <c r="C16" s="53" t="str">
        <f>VLOOKUP(B16,nomi!B:C,2,FALSE)</f>
        <v>Mister Bazzo</v>
      </c>
      <c r="D16" s="49" t="s">
        <v>44</v>
      </c>
      <c r="E16" s="20">
        <v>4</v>
      </c>
      <c r="F16" s="20" t="s">
        <v>44</v>
      </c>
      <c r="G16" s="47">
        <v>4</v>
      </c>
      <c r="H16" s="12" t="s">
        <v>44</v>
      </c>
      <c r="I16" s="12" t="s">
        <v>44</v>
      </c>
      <c r="J16" s="12" t="s">
        <v>44</v>
      </c>
      <c r="K16" s="47" t="s">
        <v>44</v>
      </c>
      <c r="L16" s="12" t="s">
        <v>44</v>
      </c>
      <c r="M16" s="12" t="s">
        <v>44</v>
      </c>
      <c r="N16" s="12" t="s">
        <v>44</v>
      </c>
      <c r="O16" s="47" t="s">
        <v>44</v>
      </c>
      <c r="P16" s="20" t="s">
        <v>44</v>
      </c>
      <c r="Q16" s="20" t="s">
        <v>44</v>
      </c>
      <c r="R16" s="20" t="s">
        <v>44</v>
      </c>
      <c r="S16" s="47" t="s">
        <v>44</v>
      </c>
      <c r="T16" s="20" t="s">
        <v>44</v>
      </c>
      <c r="U16" s="20" t="s">
        <v>44</v>
      </c>
      <c r="V16" s="20" t="s">
        <v>44</v>
      </c>
      <c r="W16" s="47" t="s">
        <v>44</v>
      </c>
      <c r="X16" s="20" t="s">
        <v>44</v>
      </c>
      <c r="Y16" s="20" t="s">
        <v>44</v>
      </c>
      <c r="Z16" s="20" t="s">
        <v>44</v>
      </c>
      <c r="AA16" s="47" t="s">
        <v>44</v>
      </c>
      <c r="AB16" s="24">
        <v>4</v>
      </c>
    </row>
    <row r="17" spans="1:16359" ht="20" customHeight="1" x14ac:dyDescent="0.2">
      <c r="A17" s="55" t="s">
        <v>13</v>
      </c>
      <c r="B17" s="53" t="str">
        <f>'CLASSIFICA ORDINATA'!B16</f>
        <v>TeoDaniricky2000</v>
      </c>
      <c r="C17" s="53" t="str">
        <f>VLOOKUP(B17,nomi!B:C,2,FALSE)</f>
        <v>TeoDaniricky2000</v>
      </c>
      <c r="D17" s="20" t="s">
        <v>44</v>
      </c>
      <c r="E17" s="20">
        <v>3</v>
      </c>
      <c r="F17" s="20" t="s">
        <v>44</v>
      </c>
      <c r="G17" s="47">
        <v>3</v>
      </c>
      <c r="H17" s="12" t="s">
        <v>44</v>
      </c>
      <c r="I17" s="12" t="s">
        <v>44</v>
      </c>
      <c r="J17" s="12" t="s">
        <v>44</v>
      </c>
      <c r="K17" s="47" t="s">
        <v>44</v>
      </c>
      <c r="L17" s="20" t="s">
        <v>44</v>
      </c>
      <c r="M17" s="20" t="s">
        <v>44</v>
      </c>
      <c r="N17" s="20" t="s">
        <v>44</v>
      </c>
      <c r="O17" s="47" t="s">
        <v>44</v>
      </c>
      <c r="P17" s="20" t="s">
        <v>44</v>
      </c>
      <c r="Q17" s="20" t="s">
        <v>44</v>
      </c>
      <c r="R17" s="20" t="s">
        <v>44</v>
      </c>
      <c r="S17" s="47" t="s">
        <v>44</v>
      </c>
      <c r="T17" s="20" t="s">
        <v>44</v>
      </c>
      <c r="U17" s="20" t="s">
        <v>44</v>
      </c>
      <c r="V17" s="20" t="s">
        <v>44</v>
      </c>
      <c r="W17" s="47" t="s">
        <v>44</v>
      </c>
      <c r="X17" s="12" t="s">
        <v>44</v>
      </c>
      <c r="Y17" s="12" t="s">
        <v>44</v>
      </c>
      <c r="Z17" s="12" t="s">
        <v>44</v>
      </c>
      <c r="AA17" s="47" t="s">
        <v>44</v>
      </c>
      <c r="AB17" s="24">
        <v>3</v>
      </c>
    </row>
    <row r="18" spans="1:16359" ht="20" customHeight="1" x14ac:dyDescent="0.2">
      <c r="A18" s="55" t="s">
        <v>20</v>
      </c>
      <c r="B18" s="53" t="str">
        <f>'CLASSIFICA ORDINATA'!B17</f>
        <v>Assemazz</v>
      </c>
      <c r="C18" s="53" t="str">
        <f>VLOOKUP(B18,nomi!B:C,2,FALSE)</f>
        <v>TLM_GAMMA</v>
      </c>
      <c r="D18" s="20" t="s">
        <v>44</v>
      </c>
      <c r="E18" s="20" t="s">
        <v>44</v>
      </c>
      <c r="F18" s="20" t="s">
        <v>44</v>
      </c>
      <c r="G18" s="47" t="s">
        <v>44</v>
      </c>
      <c r="H18" s="20" t="s">
        <v>44</v>
      </c>
      <c r="I18" s="20" t="s">
        <v>44</v>
      </c>
      <c r="J18" s="20" t="s">
        <v>44</v>
      </c>
      <c r="K18" s="47" t="s">
        <v>44</v>
      </c>
      <c r="L18" s="20" t="s">
        <v>44</v>
      </c>
      <c r="M18" s="20" t="s">
        <v>44</v>
      </c>
      <c r="N18" s="20" t="s">
        <v>44</v>
      </c>
      <c r="O18" s="47" t="s">
        <v>44</v>
      </c>
      <c r="P18" s="12" t="s">
        <v>44</v>
      </c>
      <c r="Q18" s="12" t="s">
        <v>44</v>
      </c>
      <c r="R18" s="12" t="s">
        <v>44</v>
      </c>
      <c r="S18" s="47" t="s">
        <v>44</v>
      </c>
      <c r="T18" s="20" t="s">
        <v>44</v>
      </c>
      <c r="U18" s="20" t="s">
        <v>44</v>
      </c>
      <c r="V18" s="20" t="s">
        <v>44</v>
      </c>
      <c r="W18" s="47" t="s">
        <v>44</v>
      </c>
      <c r="X18" s="12" t="s">
        <v>44</v>
      </c>
      <c r="Y18" s="12" t="s">
        <v>44</v>
      </c>
      <c r="Z18" s="12" t="s">
        <v>44</v>
      </c>
      <c r="AA18" s="47" t="s">
        <v>44</v>
      </c>
      <c r="AB18" s="24" t="s">
        <v>44</v>
      </c>
    </row>
    <row r="19" spans="1:16359" ht="20" customHeight="1" x14ac:dyDescent="0.25">
      <c r="A19" s="55" t="s">
        <v>21</v>
      </c>
      <c r="B19" s="53" t="str">
        <f>'CLASSIFICA ORDINATA'!B18</f>
        <v>Monster_Nova_RS</v>
      </c>
      <c r="C19" s="53" t="str">
        <f>VLOOKUP(B19,nomi!B:C,2,FALSE)</f>
        <v>TLM_Monster_RS</v>
      </c>
      <c r="D19" s="20" t="s">
        <v>44</v>
      </c>
      <c r="E19" s="20" t="s">
        <v>44</v>
      </c>
      <c r="F19" s="20" t="s">
        <v>44</v>
      </c>
      <c r="G19" s="47" t="s">
        <v>44</v>
      </c>
      <c r="H19" s="20" t="s">
        <v>44</v>
      </c>
      <c r="I19" s="20" t="s">
        <v>44</v>
      </c>
      <c r="J19" s="20" t="s">
        <v>44</v>
      </c>
      <c r="K19" s="47" t="s">
        <v>44</v>
      </c>
      <c r="L19" s="20" t="s">
        <v>44</v>
      </c>
      <c r="M19" s="20" t="s">
        <v>44</v>
      </c>
      <c r="N19" s="20" t="s">
        <v>44</v>
      </c>
      <c r="O19" s="47" t="s">
        <v>44</v>
      </c>
      <c r="P19" s="12" t="s">
        <v>44</v>
      </c>
      <c r="Q19" s="12" t="s">
        <v>44</v>
      </c>
      <c r="R19" s="12" t="s">
        <v>44</v>
      </c>
      <c r="S19" s="47" t="s">
        <v>44</v>
      </c>
      <c r="T19" s="20" t="s">
        <v>44</v>
      </c>
      <c r="U19" s="20" t="s">
        <v>44</v>
      </c>
      <c r="V19" s="20" t="s">
        <v>44</v>
      </c>
      <c r="W19" s="47" t="s">
        <v>44</v>
      </c>
      <c r="X19" s="12" t="s">
        <v>44</v>
      </c>
      <c r="Y19" s="12" t="s">
        <v>44</v>
      </c>
      <c r="Z19" s="12" t="s">
        <v>44</v>
      </c>
      <c r="AA19" s="47" t="s">
        <v>44</v>
      </c>
      <c r="AB19" s="24" t="s">
        <v>44</v>
      </c>
      <c r="AE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</row>
    <row r="20" spans="1:16359" ht="20" customHeight="1" x14ac:dyDescent="0.2">
      <c r="A20" s="98" t="s">
        <v>31</v>
      </c>
      <c r="B20" s="103"/>
      <c r="C20" s="64"/>
      <c r="D20" s="41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</row>
    <row r="21" spans="1:16359" ht="20" customHeight="1" x14ac:dyDescent="0.2">
      <c r="A21" s="52" t="s">
        <v>2</v>
      </c>
      <c r="B21" s="53" t="str">
        <f>'CLASSIFICA ORDINATA'!B20</f>
        <v>BAD_Brucem84</v>
      </c>
      <c r="C21" s="53" t="str">
        <f>VLOOKUP(B21,nomi!B:C,2,FALSE)</f>
        <v>BAD_brucem84</v>
      </c>
      <c r="D21" s="12">
        <v>1</v>
      </c>
      <c r="E21" s="12">
        <v>25</v>
      </c>
      <c r="F21" s="12" t="s">
        <v>44</v>
      </c>
      <c r="G21" s="47">
        <v>26</v>
      </c>
      <c r="H21" s="12" t="s">
        <v>44</v>
      </c>
      <c r="I21" s="12" t="s">
        <v>44</v>
      </c>
      <c r="J21" s="12" t="s">
        <v>44</v>
      </c>
      <c r="K21" s="47" t="s">
        <v>44</v>
      </c>
      <c r="L21" s="12" t="s">
        <v>44</v>
      </c>
      <c r="M21" s="12" t="s">
        <v>44</v>
      </c>
      <c r="N21" s="12" t="s">
        <v>44</v>
      </c>
      <c r="O21" s="47" t="s">
        <v>44</v>
      </c>
      <c r="P21" s="12" t="s">
        <v>44</v>
      </c>
      <c r="Q21" s="12" t="s">
        <v>44</v>
      </c>
      <c r="R21" s="12" t="s">
        <v>44</v>
      </c>
      <c r="S21" s="47" t="s">
        <v>44</v>
      </c>
      <c r="T21" s="12" t="s">
        <v>44</v>
      </c>
      <c r="U21" s="12" t="s">
        <v>44</v>
      </c>
      <c r="V21" s="12" t="s">
        <v>44</v>
      </c>
      <c r="W21" s="47" t="s">
        <v>44</v>
      </c>
      <c r="X21" s="12" t="s">
        <v>44</v>
      </c>
      <c r="Y21" s="12" t="s">
        <v>44</v>
      </c>
      <c r="Z21" s="12" t="s">
        <v>44</v>
      </c>
      <c r="AA21" s="47" t="s">
        <v>44</v>
      </c>
      <c r="AB21" s="24">
        <v>26</v>
      </c>
    </row>
    <row r="22" spans="1:16359" ht="20" customHeight="1" x14ac:dyDescent="0.2">
      <c r="A22" s="54" t="s">
        <v>3</v>
      </c>
      <c r="B22" s="53" t="str">
        <f>'CLASSIFICA ORDINATA'!B21</f>
        <v>Pointshark</v>
      </c>
      <c r="C22" s="53" t="str">
        <f>VLOOKUP(B22,nomi!B:C,2,FALSE)</f>
        <v>Daniele</v>
      </c>
      <c r="D22" s="12" t="s">
        <v>44</v>
      </c>
      <c r="E22" s="12">
        <v>20</v>
      </c>
      <c r="F22" s="12" t="s">
        <v>44</v>
      </c>
      <c r="G22" s="47">
        <v>20</v>
      </c>
      <c r="H22" s="12" t="s">
        <v>44</v>
      </c>
      <c r="I22" s="12" t="s">
        <v>44</v>
      </c>
      <c r="J22" s="12" t="s">
        <v>44</v>
      </c>
      <c r="K22" s="47" t="s">
        <v>44</v>
      </c>
      <c r="L22" s="12" t="s">
        <v>44</v>
      </c>
      <c r="M22" s="12" t="s">
        <v>44</v>
      </c>
      <c r="N22" s="12" t="s">
        <v>44</v>
      </c>
      <c r="O22" s="47" t="s">
        <v>44</v>
      </c>
      <c r="P22" s="12" t="s">
        <v>44</v>
      </c>
      <c r="Q22" s="12" t="s">
        <v>44</v>
      </c>
      <c r="R22" s="12" t="s">
        <v>44</v>
      </c>
      <c r="S22" s="47" t="s">
        <v>44</v>
      </c>
      <c r="T22" s="12" t="s">
        <v>44</v>
      </c>
      <c r="U22" s="12" t="s">
        <v>44</v>
      </c>
      <c r="V22" s="12" t="s">
        <v>44</v>
      </c>
      <c r="W22" s="47" t="s">
        <v>44</v>
      </c>
      <c r="X22" s="12" t="s">
        <v>44</v>
      </c>
      <c r="Y22" s="12" t="s">
        <v>44</v>
      </c>
      <c r="Z22" s="12" t="s">
        <v>44</v>
      </c>
      <c r="AA22" s="47" t="s">
        <v>44</v>
      </c>
      <c r="AB22" s="24">
        <v>20</v>
      </c>
    </row>
    <row r="23" spans="1:16359" ht="20" customHeight="1" x14ac:dyDescent="0.2">
      <c r="A23" s="55" t="s">
        <v>4</v>
      </c>
      <c r="B23" s="53" t="str">
        <f>'CLASSIFICA ORDINATA'!B22</f>
        <v>Bobgre93</v>
      </c>
      <c r="C23" s="53" t="str">
        <f>VLOOKUP(B23,nomi!B:C,2,FALSE)</f>
        <v>TLM_BobGre93</v>
      </c>
      <c r="D23" s="12" t="s">
        <v>44</v>
      </c>
      <c r="E23" s="12">
        <v>18</v>
      </c>
      <c r="F23" s="12" t="s">
        <v>44</v>
      </c>
      <c r="G23" s="47">
        <v>18</v>
      </c>
      <c r="H23" s="12" t="s">
        <v>44</v>
      </c>
      <c r="I23" s="12" t="s">
        <v>44</v>
      </c>
      <c r="J23" s="12" t="s">
        <v>44</v>
      </c>
      <c r="K23" s="47" t="s">
        <v>44</v>
      </c>
      <c r="L23" s="12" t="s">
        <v>44</v>
      </c>
      <c r="M23" s="12" t="s">
        <v>44</v>
      </c>
      <c r="N23" s="12" t="s">
        <v>44</v>
      </c>
      <c r="O23" s="47" t="s">
        <v>44</v>
      </c>
      <c r="P23" s="12" t="s">
        <v>44</v>
      </c>
      <c r="Q23" s="12" t="s">
        <v>44</v>
      </c>
      <c r="R23" s="12" t="s">
        <v>44</v>
      </c>
      <c r="S23" s="47" t="s">
        <v>44</v>
      </c>
      <c r="T23" s="12" t="s">
        <v>44</v>
      </c>
      <c r="U23" s="12" t="s">
        <v>44</v>
      </c>
      <c r="V23" s="12" t="s">
        <v>44</v>
      </c>
      <c r="W23" s="47" t="s">
        <v>44</v>
      </c>
      <c r="X23" s="12" t="s">
        <v>44</v>
      </c>
      <c r="Y23" s="12" t="s">
        <v>44</v>
      </c>
      <c r="Z23" s="12" t="s">
        <v>44</v>
      </c>
      <c r="AA23" s="47" t="s">
        <v>44</v>
      </c>
      <c r="AB23" s="24">
        <v>18</v>
      </c>
    </row>
    <row r="24" spans="1:16359" ht="20" customHeight="1" x14ac:dyDescent="0.2">
      <c r="A24" s="55" t="s">
        <v>5</v>
      </c>
      <c r="B24" s="53" t="str">
        <f>'CLASSIFICA ORDINATA'!B23</f>
        <v>Buitre83GT</v>
      </c>
      <c r="C24" s="53" t="str">
        <f>VLOOKUP(B24,nomi!B:C,2,FALSE)</f>
        <v>TLM_Proietti</v>
      </c>
      <c r="D24" s="12" t="s">
        <v>44</v>
      </c>
      <c r="E24" s="12">
        <v>16</v>
      </c>
      <c r="F24" s="12" t="s">
        <v>44</v>
      </c>
      <c r="G24" s="47">
        <v>16</v>
      </c>
      <c r="H24" s="12" t="s">
        <v>44</v>
      </c>
      <c r="I24" s="12" t="s">
        <v>44</v>
      </c>
      <c r="J24" s="12" t="s">
        <v>44</v>
      </c>
      <c r="K24" s="47" t="s">
        <v>44</v>
      </c>
      <c r="L24" s="12" t="s">
        <v>44</v>
      </c>
      <c r="M24" s="12" t="s">
        <v>44</v>
      </c>
      <c r="N24" s="12" t="s">
        <v>44</v>
      </c>
      <c r="O24" s="47" t="s">
        <v>44</v>
      </c>
      <c r="P24" s="49" t="s">
        <v>44</v>
      </c>
      <c r="Q24" s="20" t="s">
        <v>44</v>
      </c>
      <c r="R24" s="20" t="s">
        <v>44</v>
      </c>
      <c r="S24" s="47" t="s">
        <v>44</v>
      </c>
      <c r="T24" s="12" t="s">
        <v>44</v>
      </c>
      <c r="U24" s="12" t="s">
        <v>44</v>
      </c>
      <c r="V24" s="12" t="s">
        <v>44</v>
      </c>
      <c r="W24" s="47" t="s">
        <v>44</v>
      </c>
      <c r="X24" s="12" t="s">
        <v>44</v>
      </c>
      <c r="Y24" s="12" t="s">
        <v>44</v>
      </c>
      <c r="Z24" s="12" t="s">
        <v>44</v>
      </c>
      <c r="AA24" s="47" t="s">
        <v>44</v>
      </c>
      <c r="AB24" s="24">
        <v>16</v>
      </c>
    </row>
    <row r="25" spans="1:16359" ht="20" customHeight="1" x14ac:dyDescent="0.2">
      <c r="A25" s="55" t="s">
        <v>6</v>
      </c>
      <c r="B25" s="53" t="str">
        <f>'CLASSIFICA ORDINATA'!B24</f>
        <v>CORNAZZAI73</v>
      </c>
      <c r="C25" s="53" t="str">
        <f>VLOOKUP(B25,nomi!B:C,2,FALSE)</f>
        <v>GTID_Cornazzai73</v>
      </c>
      <c r="D25" s="12" t="s">
        <v>44</v>
      </c>
      <c r="E25" s="12">
        <v>14</v>
      </c>
      <c r="F25" s="12" t="s">
        <v>44</v>
      </c>
      <c r="G25" s="47">
        <v>14</v>
      </c>
      <c r="H25" s="12" t="s">
        <v>44</v>
      </c>
      <c r="I25" s="12" t="s">
        <v>44</v>
      </c>
      <c r="J25" s="12" t="s">
        <v>44</v>
      </c>
      <c r="K25" s="47" t="s">
        <v>44</v>
      </c>
      <c r="L25" s="12" t="s">
        <v>44</v>
      </c>
      <c r="M25" s="12" t="s">
        <v>44</v>
      </c>
      <c r="N25" s="12" t="s">
        <v>44</v>
      </c>
      <c r="O25" s="47" t="s">
        <v>44</v>
      </c>
      <c r="P25" s="12" t="s">
        <v>44</v>
      </c>
      <c r="Q25" s="12" t="s">
        <v>44</v>
      </c>
      <c r="R25" s="12" t="s">
        <v>44</v>
      </c>
      <c r="S25" s="47" t="s">
        <v>44</v>
      </c>
      <c r="T25" s="12" t="s">
        <v>44</v>
      </c>
      <c r="U25" s="12" t="s">
        <v>44</v>
      </c>
      <c r="V25" s="12" t="s">
        <v>44</v>
      </c>
      <c r="W25" s="47" t="s">
        <v>44</v>
      </c>
      <c r="X25" s="12" t="s">
        <v>44</v>
      </c>
      <c r="Y25" s="12" t="s">
        <v>44</v>
      </c>
      <c r="Z25" s="12" t="s">
        <v>44</v>
      </c>
      <c r="AA25" s="47" t="s">
        <v>44</v>
      </c>
      <c r="AB25" s="24">
        <v>14</v>
      </c>
    </row>
    <row r="26" spans="1:16359" ht="20" customHeight="1" x14ac:dyDescent="0.2">
      <c r="A26" s="55" t="s">
        <v>7</v>
      </c>
      <c r="B26" s="53" t="str">
        <f>'CLASSIFICA ORDINATA'!B25</f>
        <v>GTRC_Frenkmik93</v>
      </c>
      <c r="C26" s="53" t="str">
        <f>VLOOKUP(B26,nomi!B:C,2,FALSE)</f>
        <v>GTRC_FrenkMik93</v>
      </c>
      <c r="D26" s="12" t="s">
        <v>44</v>
      </c>
      <c r="E26" s="12">
        <v>12</v>
      </c>
      <c r="F26" s="12">
        <v>1</v>
      </c>
      <c r="G26" s="47">
        <v>13</v>
      </c>
      <c r="H26" s="12" t="s">
        <v>44</v>
      </c>
      <c r="I26" s="12" t="s">
        <v>44</v>
      </c>
      <c r="J26" s="12" t="s">
        <v>44</v>
      </c>
      <c r="K26" s="47" t="s">
        <v>44</v>
      </c>
      <c r="L26" s="20" t="s">
        <v>44</v>
      </c>
      <c r="M26" s="20" t="s">
        <v>44</v>
      </c>
      <c r="N26" s="20" t="s">
        <v>44</v>
      </c>
      <c r="O26" s="47" t="s">
        <v>44</v>
      </c>
      <c r="P26" s="12" t="s">
        <v>44</v>
      </c>
      <c r="Q26" s="12" t="s">
        <v>44</v>
      </c>
      <c r="R26" s="12" t="s">
        <v>44</v>
      </c>
      <c r="S26" s="47" t="s">
        <v>44</v>
      </c>
      <c r="T26" s="12" t="s">
        <v>44</v>
      </c>
      <c r="U26" s="12" t="s">
        <v>44</v>
      </c>
      <c r="V26" s="12" t="s">
        <v>44</v>
      </c>
      <c r="W26" s="47" t="s">
        <v>44</v>
      </c>
      <c r="X26" s="12" t="s">
        <v>44</v>
      </c>
      <c r="Y26" s="12" t="s">
        <v>44</v>
      </c>
      <c r="Z26" s="12" t="s">
        <v>44</v>
      </c>
      <c r="AA26" s="47" t="s">
        <v>44</v>
      </c>
      <c r="AB26" s="24">
        <v>13</v>
      </c>
    </row>
    <row r="27" spans="1:16359" ht="20" customHeight="1" x14ac:dyDescent="0.2">
      <c r="A27" s="55" t="s">
        <v>8</v>
      </c>
      <c r="B27" s="53" t="str">
        <f>'CLASSIFICA ORDINATA'!B26</f>
        <v>Freshofthezone</v>
      </c>
      <c r="C27" s="53" t="str">
        <f>VLOOKUP(B27,nomi!B:C,2,FALSE)</f>
        <v>Frescodizona</v>
      </c>
      <c r="D27" s="12" t="s">
        <v>44</v>
      </c>
      <c r="E27" s="12">
        <v>10</v>
      </c>
      <c r="F27" s="12" t="s">
        <v>44</v>
      </c>
      <c r="G27" s="47">
        <v>10</v>
      </c>
      <c r="H27" s="12" t="s">
        <v>44</v>
      </c>
      <c r="I27" s="12" t="s">
        <v>44</v>
      </c>
      <c r="J27" s="12" t="s">
        <v>44</v>
      </c>
      <c r="K27" s="47" t="s">
        <v>44</v>
      </c>
      <c r="L27" s="12" t="s">
        <v>44</v>
      </c>
      <c r="M27" s="12" t="s">
        <v>44</v>
      </c>
      <c r="N27" s="12" t="s">
        <v>44</v>
      </c>
      <c r="O27" s="47" t="s">
        <v>44</v>
      </c>
      <c r="P27" s="12" t="s">
        <v>44</v>
      </c>
      <c r="Q27" s="12" t="s">
        <v>44</v>
      </c>
      <c r="R27" s="12" t="s">
        <v>44</v>
      </c>
      <c r="S27" s="47" t="s">
        <v>44</v>
      </c>
      <c r="T27" s="12" t="s">
        <v>44</v>
      </c>
      <c r="U27" s="12" t="s">
        <v>44</v>
      </c>
      <c r="V27" s="12" t="s">
        <v>44</v>
      </c>
      <c r="W27" s="47" t="s">
        <v>44</v>
      </c>
      <c r="X27" s="12" t="s">
        <v>44</v>
      </c>
      <c r="Y27" s="12" t="s">
        <v>44</v>
      </c>
      <c r="Z27" s="12" t="s">
        <v>44</v>
      </c>
      <c r="AA27" s="47" t="s">
        <v>44</v>
      </c>
      <c r="AB27" s="24">
        <v>10</v>
      </c>
    </row>
    <row r="28" spans="1:16359" ht="20" customHeight="1" x14ac:dyDescent="0.2">
      <c r="A28" s="55" t="s">
        <v>9</v>
      </c>
      <c r="B28" s="53" t="str">
        <f>'CLASSIFICA ORDINATA'!B27</f>
        <v>GTRC_AMALA_ETNA</v>
      </c>
      <c r="C28" s="53" t="str">
        <f>VLOOKUP(B28,nomi!B:C,2,FALSE)</f>
        <v>GTRC_AMALA_ETNA</v>
      </c>
      <c r="D28" s="12" t="s">
        <v>44</v>
      </c>
      <c r="E28" s="12">
        <v>8</v>
      </c>
      <c r="F28" s="12" t="s">
        <v>44</v>
      </c>
      <c r="G28" s="47">
        <v>8</v>
      </c>
      <c r="H28" s="12" t="s">
        <v>44</v>
      </c>
      <c r="I28" s="12" t="s">
        <v>44</v>
      </c>
      <c r="J28" s="12" t="s">
        <v>44</v>
      </c>
      <c r="K28" s="47" t="s">
        <v>44</v>
      </c>
      <c r="L28" s="12" t="s">
        <v>44</v>
      </c>
      <c r="M28" s="12" t="s">
        <v>44</v>
      </c>
      <c r="N28" s="12" t="s">
        <v>44</v>
      </c>
      <c r="O28" s="47" t="s">
        <v>44</v>
      </c>
      <c r="P28" s="20" t="s">
        <v>44</v>
      </c>
      <c r="Q28" s="20" t="s">
        <v>44</v>
      </c>
      <c r="R28" s="20" t="s">
        <v>44</v>
      </c>
      <c r="S28" s="47" t="s">
        <v>44</v>
      </c>
      <c r="T28" s="12" t="s">
        <v>44</v>
      </c>
      <c r="U28" s="12" t="s">
        <v>44</v>
      </c>
      <c r="V28" s="12" t="s">
        <v>44</v>
      </c>
      <c r="W28" s="47" t="s">
        <v>44</v>
      </c>
      <c r="X28" s="12" t="s">
        <v>44</v>
      </c>
      <c r="Y28" s="12" t="s">
        <v>44</v>
      </c>
      <c r="Z28" s="12" t="s">
        <v>44</v>
      </c>
      <c r="AA28" s="47" t="s">
        <v>44</v>
      </c>
      <c r="AB28" s="24">
        <v>8</v>
      </c>
    </row>
    <row r="29" spans="1:16359" ht="20" customHeight="1" x14ac:dyDescent="0.2">
      <c r="A29" s="55" t="s">
        <v>10</v>
      </c>
      <c r="B29" s="53" t="str">
        <f>'CLASSIFICA ORDINATA'!B28</f>
        <v>Talsigiano</v>
      </c>
      <c r="C29" s="53" t="str">
        <f>VLOOKUP(B29,nomi!B:C,2,FALSE)</f>
        <v xml:space="preserve">Talsigiano </v>
      </c>
      <c r="D29" s="20" t="s">
        <v>44</v>
      </c>
      <c r="E29" s="20">
        <v>6</v>
      </c>
      <c r="F29" s="20" t="s">
        <v>44</v>
      </c>
      <c r="G29" s="47">
        <v>6</v>
      </c>
      <c r="H29" s="12" t="s">
        <v>44</v>
      </c>
      <c r="I29" s="12" t="s">
        <v>44</v>
      </c>
      <c r="J29" s="12" t="s">
        <v>44</v>
      </c>
      <c r="K29" s="47" t="s">
        <v>44</v>
      </c>
      <c r="L29" s="12" t="s">
        <v>44</v>
      </c>
      <c r="M29" s="12" t="s">
        <v>44</v>
      </c>
      <c r="N29" s="12" t="s">
        <v>44</v>
      </c>
      <c r="O29" s="47" t="s">
        <v>44</v>
      </c>
      <c r="P29" s="12" t="s">
        <v>44</v>
      </c>
      <c r="Q29" s="12" t="s">
        <v>44</v>
      </c>
      <c r="R29" s="12" t="s">
        <v>44</v>
      </c>
      <c r="S29" s="47" t="s">
        <v>44</v>
      </c>
      <c r="T29" s="12" t="s">
        <v>44</v>
      </c>
      <c r="U29" s="12" t="s">
        <v>44</v>
      </c>
      <c r="V29" s="12" t="s">
        <v>44</v>
      </c>
      <c r="W29" s="47" t="s">
        <v>44</v>
      </c>
      <c r="X29" s="12" t="s">
        <v>44</v>
      </c>
      <c r="Y29" s="12" t="s">
        <v>44</v>
      </c>
      <c r="Z29" s="12" t="s">
        <v>44</v>
      </c>
      <c r="AA29" s="47" t="s">
        <v>44</v>
      </c>
      <c r="AB29" s="24">
        <v>6</v>
      </c>
    </row>
    <row r="30" spans="1:16359" ht="20" customHeight="1" x14ac:dyDescent="0.2">
      <c r="A30" s="55" t="s">
        <v>11</v>
      </c>
      <c r="B30" s="53" t="str">
        <f>'CLASSIFICA ORDINATA'!B29</f>
        <v>Blokkobubbles</v>
      </c>
      <c r="C30" s="53" t="str">
        <f>VLOOKUP(B30,nomi!B:C,2,FALSE)</f>
        <v>Blokko</v>
      </c>
      <c r="D30" s="12" t="s">
        <v>44</v>
      </c>
      <c r="E30" s="12">
        <v>5</v>
      </c>
      <c r="F30" s="12" t="s">
        <v>44</v>
      </c>
      <c r="G30" s="47">
        <v>5</v>
      </c>
      <c r="H30" s="12" t="s">
        <v>44</v>
      </c>
      <c r="I30" s="12" t="s">
        <v>44</v>
      </c>
      <c r="J30" s="12" t="s">
        <v>44</v>
      </c>
      <c r="K30" s="47" t="s">
        <v>44</v>
      </c>
      <c r="L30" s="20" t="s">
        <v>44</v>
      </c>
      <c r="M30" s="20" t="s">
        <v>44</v>
      </c>
      <c r="N30" s="20" t="s">
        <v>44</v>
      </c>
      <c r="O30" s="47" t="s">
        <v>44</v>
      </c>
      <c r="P30" s="12" t="s">
        <v>44</v>
      </c>
      <c r="Q30" s="12" t="s">
        <v>44</v>
      </c>
      <c r="R30" s="12" t="s">
        <v>44</v>
      </c>
      <c r="S30" s="47" t="s">
        <v>44</v>
      </c>
      <c r="T30" s="20" t="s">
        <v>44</v>
      </c>
      <c r="U30" s="20" t="s">
        <v>44</v>
      </c>
      <c r="V30" s="20" t="s">
        <v>44</v>
      </c>
      <c r="W30" s="47" t="s">
        <v>44</v>
      </c>
      <c r="X30" s="12" t="s">
        <v>44</v>
      </c>
      <c r="Y30" s="12" t="s">
        <v>44</v>
      </c>
      <c r="Z30" s="12" t="s">
        <v>44</v>
      </c>
      <c r="AA30" s="47" t="s">
        <v>44</v>
      </c>
      <c r="AB30" s="24">
        <v>5</v>
      </c>
    </row>
    <row r="31" spans="1:16359" ht="20" customHeight="1" x14ac:dyDescent="0.2">
      <c r="A31" s="55" t="s">
        <v>12</v>
      </c>
      <c r="B31" s="53" t="str">
        <f>'CLASSIFICA ORDINATA'!B30</f>
        <v>jack-187-jack</v>
      </c>
      <c r="C31" s="53" t="str">
        <f>VLOOKUP(B31,nomi!B:C,2,FALSE)</f>
        <v>Jack187</v>
      </c>
      <c r="D31" s="49" t="s">
        <v>44</v>
      </c>
      <c r="E31" s="20">
        <v>4</v>
      </c>
      <c r="F31" s="20" t="s">
        <v>44</v>
      </c>
      <c r="G31" s="47">
        <v>4</v>
      </c>
      <c r="H31" s="12" t="s">
        <v>44</v>
      </c>
      <c r="I31" s="12" t="s">
        <v>44</v>
      </c>
      <c r="J31" s="12" t="s">
        <v>44</v>
      </c>
      <c r="K31" s="47" t="s">
        <v>44</v>
      </c>
      <c r="L31" s="12" t="s">
        <v>44</v>
      </c>
      <c r="M31" s="12" t="s">
        <v>44</v>
      </c>
      <c r="N31" s="12" t="s">
        <v>44</v>
      </c>
      <c r="O31" s="47" t="s">
        <v>44</v>
      </c>
      <c r="P31" s="20" t="s">
        <v>44</v>
      </c>
      <c r="Q31" s="20" t="s">
        <v>44</v>
      </c>
      <c r="R31" s="20" t="s">
        <v>44</v>
      </c>
      <c r="S31" s="47" t="s">
        <v>44</v>
      </c>
      <c r="T31" s="20" t="s">
        <v>44</v>
      </c>
      <c r="U31" s="20" t="s">
        <v>44</v>
      </c>
      <c r="V31" s="20" t="s">
        <v>44</v>
      </c>
      <c r="W31" s="47" t="s">
        <v>44</v>
      </c>
      <c r="X31" s="20" t="s">
        <v>44</v>
      </c>
      <c r="Y31" s="20" t="s">
        <v>44</v>
      </c>
      <c r="Z31" s="20" t="s">
        <v>44</v>
      </c>
      <c r="AA31" s="47" t="s">
        <v>44</v>
      </c>
      <c r="AB31" s="24">
        <v>4</v>
      </c>
    </row>
    <row r="32" spans="1:16359" ht="20" customHeight="1" x14ac:dyDescent="0.2">
      <c r="A32" s="55" t="s">
        <v>13</v>
      </c>
      <c r="B32" s="53" t="str">
        <f>'CLASSIFICA ORDINATA'!B31</f>
        <v>Mancinelli2002</v>
      </c>
      <c r="C32" s="53" t="str">
        <f>VLOOKUP(B32,nomi!B:C,2,FALSE)</f>
        <v>Gian</v>
      </c>
      <c r="D32" s="20" t="s">
        <v>44</v>
      </c>
      <c r="E32" s="20">
        <v>3</v>
      </c>
      <c r="F32" s="20" t="s">
        <v>44</v>
      </c>
      <c r="G32" s="47">
        <v>3</v>
      </c>
      <c r="H32" s="12" t="s">
        <v>44</v>
      </c>
      <c r="I32" s="12" t="s">
        <v>44</v>
      </c>
      <c r="J32" s="12" t="s">
        <v>44</v>
      </c>
      <c r="K32" s="47" t="s">
        <v>44</v>
      </c>
      <c r="L32" s="20" t="s">
        <v>44</v>
      </c>
      <c r="M32" s="20" t="s">
        <v>44</v>
      </c>
      <c r="N32" s="20" t="s">
        <v>44</v>
      </c>
      <c r="O32" s="47" t="s">
        <v>44</v>
      </c>
      <c r="P32" s="20" t="s">
        <v>44</v>
      </c>
      <c r="Q32" s="20" t="s">
        <v>44</v>
      </c>
      <c r="R32" s="20" t="s">
        <v>44</v>
      </c>
      <c r="S32" s="47" t="s">
        <v>44</v>
      </c>
      <c r="T32" s="20" t="s">
        <v>44</v>
      </c>
      <c r="U32" s="20" t="s">
        <v>44</v>
      </c>
      <c r="V32" s="20" t="s">
        <v>44</v>
      </c>
      <c r="W32" s="47" t="s">
        <v>44</v>
      </c>
      <c r="X32" s="12" t="s">
        <v>44</v>
      </c>
      <c r="Y32" s="12" t="s">
        <v>44</v>
      </c>
      <c r="Z32" s="12" t="s">
        <v>44</v>
      </c>
      <c r="AA32" s="47" t="s">
        <v>44</v>
      </c>
      <c r="AB32" s="24">
        <v>3</v>
      </c>
    </row>
    <row r="33" spans="1:28" ht="20" customHeight="1" x14ac:dyDescent="0.2">
      <c r="A33" s="55" t="s">
        <v>20</v>
      </c>
      <c r="B33" s="53" t="str">
        <f>'CLASSIFICA ORDINATA'!B32</f>
        <v>TLM_Verce90</v>
      </c>
      <c r="C33" s="53" t="str">
        <f>VLOOKUP(B33,nomi!B:C,2,FALSE)</f>
        <v>Verce</v>
      </c>
      <c r="D33" s="20" t="s">
        <v>44</v>
      </c>
      <c r="E33" s="20">
        <v>2</v>
      </c>
      <c r="F33" s="20" t="s">
        <v>44</v>
      </c>
      <c r="G33" s="47">
        <v>2</v>
      </c>
      <c r="H33" s="20" t="s">
        <v>44</v>
      </c>
      <c r="I33" s="20" t="s">
        <v>44</v>
      </c>
      <c r="J33" s="20" t="s">
        <v>44</v>
      </c>
      <c r="K33" s="47" t="s">
        <v>44</v>
      </c>
      <c r="L33" s="20" t="s">
        <v>44</v>
      </c>
      <c r="M33" s="20" t="s">
        <v>44</v>
      </c>
      <c r="N33" s="20" t="s">
        <v>44</v>
      </c>
      <c r="O33" s="47" t="s">
        <v>44</v>
      </c>
      <c r="P33" s="12" t="s">
        <v>44</v>
      </c>
      <c r="Q33" s="12" t="s">
        <v>44</v>
      </c>
      <c r="R33" s="12" t="s">
        <v>44</v>
      </c>
      <c r="S33" s="47" t="s">
        <v>44</v>
      </c>
      <c r="T33" s="20" t="s">
        <v>44</v>
      </c>
      <c r="U33" s="20" t="s">
        <v>44</v>
      </c>
      <c r="V33" s="20" t="s">
        <v>44</v>
      </c>
      <c r="W33" s="47" t="s">
        <v>44</v>
      </c>
      <c r="X33" s="12" t="s">
        <v>44</v>
      </c>
      <c r="Y33" s="12" t="s">
        <v>44</v>
      </c>
      <c r="Z33" s="12" t="s">
        <v>44</v>
      </c>
      <c r="AA33" s="47" t="s">
        <v>44</v>
      </c>
      <c r="AB33" s="24">
        <v>2</v>
      </c>
    </row>
    <row r="34" spans="1:28" ht="20" customHeight="1" x14ac:dyDescent="0.2">
      <c r="A34" s="55" t="s">
        <v>21</v>
      </c>
      <c r="B34" s="53" t="str">
        <f>'CLASSIFICA ORDINATA'!B33</f>
        <v/>
      </c>
      <c r="C34" s="53" t="e">
        <f>VLOOKUP(B34,nomi!B:C,2,FALSE)</f>
        <v>#N/A</v>
      </c>
      <c r="D34" s="20" t="s">
        <v>44</v>
      </c>
      <c r="E34" s="20" t="s">
        <v>44</v>
      </c>
      <c r="F34" s="20" t="s">
        <v>44</v>
      </c>
      <c r="G34" s="47" t="s">
        <v>44</v>
      </c>
      <c r="H34" s="20" t="s">
        <v>44</v>
      </c>
      <c r="I34" s="20" t="s">
        <v>44</v>
      </c>
      <c r="J34" s="20" t="s">
        <v>44</v>
      </c>
      <c r="K34" s="47" t="s">
        <v>44</v>
      </c>
      <c r="L34" s="20" t="s">
        <v>44</v>
      </c>
      <c r="M34" s="20" t="s">
        <v>44</v>
      </c>
      <c r="N34" s="20" t="s">
        <v>44</v>
      </c>
      <c r="O34" s="47" t="s">
        <v>44</v>
      </c>
      <c r="P34" s="12" t="s">
        <v>44</v>
      </c>
      <c r="Q34" s="12" t="s">
        <v>44</v>
      </c>
      <c r="R34" s="12" t="s">
        <v>44</v>
      </c>
      <c r="S34" s="47" t="s">
        <v>44</v>
      </c>
      <c r="T34" s="20" t="s">
        <v>44</v>
      </c>
      <c r="U34" s="20" t="s">
        <v>44</v>
      </c>
      <c r="V34" s="20" t="s">
        <v>44</v>
      </c>
      <c r="W34" s="47" t="s">
        <v>44</v>
      </c>
      <c r="X34" s="12" t="s">
        <v>44</v>
      </c>
      <c r="Y34" s="12" t="s">
        <v>44</v>
      </c>
      <c r="Z34" s="12" t="s">
        <v>44</v>
      </c>
      <c r="AA34" s="47" t="s">
        <v>44</v>
      </c>
      <c r="AB34" s="24" t="s">
        <v>44</v>
      </c>
    </row>
    <row r="35" spans="1:28" ht="20" customHeight="1" x14ac:dyDescent="0.2">
      <c r="A35" s="96" t="s">
        <v>50</v>
      </c>
      <c r="B35" s="97"/>
      <c r="C35" s="63"/>
      <c r="D35" s="39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</row>
    <row r="36" spans="1:28" ht="20" customHeight="1" x14ac:dyDescent="0.2">
      <c r="A36" s="52" t="s">
        <v>2</v>
      </c>
      <c r="B36" s="53" t="str">
        <f>'CLASSIFICA ORDINATA'!B35</f>
        <v>Flavio-VR46</v>
      </c>
      <c r="C36" s="53" t="str">
        <f>VLOOKUP(B36,nomi!B:C,2,FALSE)</f>
        <v>RMT-Flavio-VR46</v>
      </c>
      <c r="D36" s="12">
        <v>1</v>
      </c>
      <c r="E36" s="12">
        <v>25</v>
      </c>
      <c r="F36" s="12">
        <v>1</v>
      </c>
      <c r="G36" s="47">
        <v>27</v>
      </c>
      <c r="H36" s="12" t="s">
        <v>44</v>
      </c>
      <c r="I36" s="12" t="s">
        <v>44</v>
      </c>
      <c r="J36" s="12" t="s">
        <v>44</v>
      </c>
      <c r="K36" s="47" t="s">
        <v>44</v>
      </c>
      <c r="L36" s="12" t="s">
        <v>44</v>
      </c>
      <c r="M36" s="12" t="s">
        <v>44</v>
      </c>
      <c r="N36" s="12" t="s">
        <v>44</v>
      </c>
      <c r="O36" s="47" t="s">
        <v>44</v>
      </c>
      <c r="P36" s="12" t="s">
        <v>44</v>
      </c>
      <c r="Q36" s="12" t="s">
        <v>44</v>
      </c>
      <c r="R36" s="12" t="s">
        <v>44</v>
      </c>
      <c r="S36" s="47" t="s">
        <v>44</v>
      </c>
      <c r="T36" s="12" t="s">
        <v>44</v>
      </c>
      <c r="U36" s="12" t="s">
        <v>44</v>
      </c>
      <c r="V36" s="12" t="s">
        <v>44</v>
      </c>
      <c r="W36" s="47" t="s">
        <v>44</v>
      </c>
      <c r="X36" s="12" t="s">
        <v>44</v>
      </c>
      <c r="Y36" s="12" t="s">
        <v>44</v>
      </c>
      <c r="Z36" s="12" t="s">
        <v>44</v>
      </c>
      <c r="AA36" s="47" t="s">
        <v>44</v>
      </c>
      <c r="AB36" s="24">
        <v>27</v>
      </c>
    </row>
    <row r="37" spans="1:28" ht="20" customHeight="1" x14ac:dyDescent="0.2">
      <c r="A37" s="62" t="s">
        <v>3</v>
      </c>
      <c r="B37" s="53" t="str">
        <f>'CLASSIFICA ORDINATA'!B36</f>
        <v>TLM_SKIZZO 34</v>
      </c>
      <c r="C37" s="53" t="str">
        <f>VLOOKUP(B37,nomi!B:C,2,FALSE)</f>
        <v>TLM_SKIIZZO 34</v>
      </c>
      <c r="D37" s="12" t="s">
        <v>44</v>
      </c>
      <c r="E37" s="12">
        <v>20</v>
      </c>
      <c r="F37" s="12" t="s">
        <v>44</v>
      </c>
      <c r="G37" s="47">
        <v>20</v>
      </c>
      <c r="H37" s="12" t="s">
        <v>44</v>
      </c>
      <c r="I37" s="12" t="s">
        <v>44</v>
      </c>
      <c r="J37" s="12" t="s">
        <v>44</v>
      </c>
      <c r="K37" s="47" t="s">
        <v>44</v>
      </c>
      <c r="L37" s="12" t="s">
        <v>44</v>
      </c>
      <c r="M37" s="12" t="s">
        <v>44</v>
      </c>
      <c r="N37" s="12" t="s">
        <v>44</v>
      </c>
      <c r="O37" s="47" t="s">
        <v>44</v>
      </c>
      <c r="P37" s="12" t="s">
        <v>44</v>
      </c>
      <c r="Q37" s="12" t="s">
        <v>44</v>
      </c>
      <c r="R37" s="12" t="s">
        <v>44</v>
      </c>
      <c r="S37" s="47" t="s">
        <v>44</v>
      </c>
      <c r="T37" s="12" t="s">
        <v>44</v>
      </c>
      <c r="U37" s="12" t="s">
        <v>44</v>
      </c>
      <c r="V37" s="12" t="s">
        <v>44</v>
      </c>
      <c r="W37" s="47" t="s">
        <v>44</v>
      </c>
      <c r="X37" s="12" t="s">
        <v>44</v>
      </c>
      <c r="Y37" s="12" t="s">
        <v>44</v>
      </c>
      <c r="Z37" s="12" t="s">
        <v>44</v>
      </c>
      <c r="AA37" s="47" t="s">
        <v>44</v>
      </c>
      <c r="AB37" s="24">
        <v>20</v>
      </c>
    </row>
    <row r="38" spans="1:28" ht="20" customHeight="1" x14ac:dyDescent="0.2">
      <c r="A38" s="54" t="s">
        <v>4</v>
      </c>
      <c r="B38" s="53" t="str">
        <f>'CLASSIFICA ORDINATA'!B37</f>
        <v>jet_morello</v>
      </c>
      <c r="C38" s="53" t="str">
        <f>VLOOKUP(B38,nomi!B:C,2,FALSE)</f>
        <v>Iaia angelo</v>
      </c>
      <c r="D38" s="12" t="s">
        <v>44</v>
      </c>
      <c r="E38" s="12">
        <v>18</v>
      </c>
      <c r="F38" s="12" t="s">
        <v>44</v>
      </c>
      <c r="G38" s="47">
        <v>18</v>
      </c>
      <c r="H38" s="12" t="s">
        <v>44</v>
      </c>
      <c r="I38" s="12" t="s">
        <v>44</v>
      </c>
      <c r="J38" s="12" t="s">
        <v>44</v>
      </c>
      <c r="K38" s="47" t="s">
        <v>44</v>
      </c>
      <c r="L38" s="12" t="s">
        <v>44</v>
      </c>
      <c r="M38" s="12" t="s">
        <v>44</v>
      </c>
      <c r="N38" s="12" t="s">
        <v>44</v>
      </c>
      <c r="O38" s="47" t="s">
        <v>44</v>
      </c>
      <c r="P38" s="12" t="s">
        <v>44</v>
      </c>
      <c r="Q38" s="12" t="s">
        <v>44</v>
      </c>
      <c r="R38" s="12" t="s">
        <v>44</v>
      </c>
      <c r="S38" s="47" t="s">
        <v>44</v>
      </c>
      <c r="T38" s="12" t="s">
        <v>44</v>
      </c>
      <c r="U38" s="12" t="s">
        <v>44</v>
      </c>
      <c r="V38" s="12" t="s">
        <v>44</v>
      </c>
      <c r="W38" s="47" t="s">
        <v>44</v>
      </c>
      <c r="X38" s="12" t="s">
        <v>44</v>
      </c>
      <c r="Y38" s="12" t="s">
        <v>44</v>
      </c>
      <c r="Z38" s="12" t="s">
        <v>44</v>
      </c>
      <c r="AA38" s="47" t="s">
        <v>44</v>
      </c>
      <c r="AB38" s="24">
        <v>18</v>
      </c>
    </row>
    <row r="39" spans="1:28" ht="20" customHeight="1" x14ac:dyDescent="0.2">
      <c r="A39" s="55" t="s">
        <v>5</v>
      </c>
      <c r="B39" s="53" t="str">
        <f>'CLASSIFICA ORDINATA'!B38</f>
        <v>TheGuarny</v>
      </c>
      <c r="C39" s="53" t="str">
        <f>VLOOKUP(B39,nomi!B:C,2,FALSE)</f>
        <v>A. Guarnaccia</v>
      </c>
      <c r="D39" s="12" t="s">
        <v>44</v>
      </c>
      <c r="E39" s="12">
        <v>16</v>
      </c>
      <c r="F39" s="12" t="s">
        <v>44</v>
      </c>
      <c r="G39" s="47">
        <v>16</v>
      </c>
      <c r="H39" s="12" t="s">
        <v>44</v>
      </c>
      <c r="I39" s="12" t="s">
        <v>44</v>
      </c>
      <c r="J39" s="12" t="s">
        <v>44</v>
      </c>
      <c r="K39" s="47" t="s">
        <v>44</v>
      </c>
      <c r="L39" s="12" t="s">
        <v>44</v>
      </c>
      <c r="M39" s="12" t="s">
        <v>44</v>
      </c>
      <c r="N39" s="12" t="s">
        <v>44</v>
      </c>
      <c r="O39" s="47" t="s">
        <v>44</v>
      </c>
      <c r="P39" s="49" t="s">
        <v>44</v>
      </c>
      <c r="Q39" s="20" t="s">
        <v>44</v>
      </c>
      <c r="R39" s="20" t="s">
        <v>44</v>
      </c>
      <c r="S39" s="47" t="s">
        <v>44</v>
      </c>
      <c r="T39" s="12" t="s">
        <v>44</v>
      </c>
      <c r="U39" s="12" t="s">
        <v>44</v>
      </c>
      <c r="V39" s="12" t="s">
        <v>44</v>
      </c>
      <c r="W39" s="47" t="s">
        <v>44</v>
      </c>
      <c r="X39" s="12" t="s">
        <v>44</v>
      </c>
      <c r="Y39" s="12" t="s">
        <v>44</v>
      </c>
      <c r="Z39" s="12" t="s">
        <v>44</v>
      </c>
      <c r="AA39" s="47" t="s">
        <v>44</v>
      </c>
      <c r="AB39" s="24">
        <v>16</v>
      </c>
    </row>
    <row r="40" spans="1:28" ht="20" customHeight="1" x14ac:dyDescent="0.2">
      <c r="A40" s="55" t="s">
        <v>6</v>
      </c>
      <c r="B40" s="53" t="str">
        <f>'CLASSIFICA ORDINATA'!B39</f>
        <v>andvea_99</v>
      </c>
      <c r="C40" s="53" t="str">
        <f>VLOOKUP(B40,nomi!B:C,2,FALSE)</f>
        <v>TLM_andvea99</v>
      </c>
      <c r="D40" s="12" t="s">
        <v>44</v>
      </c>
      <c r="E40" s="12">
        <v>14</v>
      </c>
      <c r="F40" s="12" t="s">
        <v>44</v>
      </c>
      <c r="G40" s="47">
        <v>14</v>
      </c>
      <c r="H40" s="12" t="s">
        <v>44</v>
      </c>
      <c r="I40" s="12" t="s">
        <v>44</v>
      </c>
      <c r="J40" s="12" t="s">
        <v>44</v>
      </c>
      <c r="K40" s="47" t="s">
        <v>44</v>
      </c>
      <c r="L40" s="12" t="s">
        <v>44</v>
      </c>
      <c r="M40" s="12" t="s">
        <v>44</v>
      </c>
      <c r="N40" s="12" t="s">
        <v>44</v>
      </c>
      <c r="O40" s="47" t="s">
        <v>44</v>
      </c>
      <c r="P40" s="12" t="s">
        <v>44</v>
      </c>
      <c r="Q40" s="12" t="s">
        <v>44</v>
      </c>
      <c r="R40" s="12" t="s">
        <v>44</v>
      </c>
      <c r="S40" s="47" t="s">
        <v>44</v>
      </c>
      <c r="T40" s="12" t="s">
        <v>44</v>
      </c>
      <c r="U40" s="12" t="s">
        <v>44</v>
      </c>
      <c r="V40" s="12" t="s">
        <v>44</v>
      </c>
      <c r="W40" s="47" t="s">
        <v>44</v>
      </c>
      <c r="X40" s="12" t="s">
        <v>44</v>
      </c>
      <c r="Y40" s="12" t="s">
        <v>44</v>
      </c>
      <c r="Z40" s="12" t="s">
        <v>44</v>
      </c>
      <c r="AA40" s="47" t="s">
        <v>44</v>
      </c>
      <c r="AB40" s="24">
        <v>14</v>
      </c>
    </row>
    <row r="41" spans="1:28" ht="20" customHeight="1" x14ac:dyDescent="0.2">
      <c r="A41" s="55" t="s">
        <v>7</v>
      </c>
      <c r="B41" s="53" t="str">
        <f>'CLASSIFICA ORDINATA'!B40</f>
        <v>TLM_wid83</v>
      </c>
      <c r="C41" s="53" t="str">
        <f>VLOOKUP(B41,nomi!B:C,2,FALSE)</f>
        <v>TLM_wid83</v>
      </c>
      <c r="D41" s="12" t="s">
        <v>44</v>
      </c>
      <c r="E41" s="12">
        <v>12</v>
      </c>
      <c r="F41" s="12" t="s">
        <v>44</v>
      </c>
      <c r="G41" s="47">
        <v>12</v>
      </c>
      <c r="H41" s="12" t="s">
        <v>44</v>
      </c>
      <c r="I41" s="12" t="s">
        <v>44</v>
      </c>
      <c r="J41" s="12" t="s">
        <v>44</v>
      </c>
      <c r="K41" s="47" t="s">
        <v>44</v>
      </c>
      <c r="L41" s="20" t="s">
        <v>44</v>
      </c>
      <c r="M41" s="20" t="s">
        <v>44</v>
      </c>
      <c r="N41" s="20" t="s">
        <v>44</v>
      </c>
      <c r="O41" s="47" t="s">
        <v>44</v>
      </c>
      <c r="P41" s="12" t="s">
        <v>44</v>
      </c>
      <c r="Q41" s="12" t="s">
        <v>44</v>
      </c>
      <c r="R41" s="12" t="s">
        <v>44</v>
      </c>
      <c r="S41" s="47" t="s">
        <v>44</v>
      </c>
      <c r="T41" s="12" t="s">
        <v>44</v>
      </c>
      <c r="U41" s="12" t="s">
        <v>44</v>
      </c>
      <c r="V41" s="12" t="s">
        <v>44</v>
      </c>
      <c r="W41" s="47" t="s">
        <v>44</v>
      </c>
      <c r="X41" s="12" t="s">
        <v>44</v>
      </c>
      <c r="Y41" s="12" t="s">
        <v>44</v>
      </c>
      <c r="Z41" s="12" t="s">
        <v>44</v>
      </c>
      <c r="AA41" s="47" t="s">
        <v>44</v>
      </c>
      <c r="AB41" s="24">
        <v>12</v>
      </c>
    </row>
    <row r="42" spans="1:28" ht="20" customHeight="1" x14ac:dyDescent="0.2">
      <c r="A42" s="55" t="s">
        <v>8</v>
      </c>
      <c r="B42" s="53" t="str">
        <f>'CLASSIFICA ORDINATA'!B41</f>
        <v>Liotru1979</v>
      </c>
      <c r="C42" s="53" t="str">
        <f>VLOOKUP(B42,nomi!B:C,2,FALSE)</f>
        <v xml:space="preserve">TLM Max </v>
      </c>
      <c r="D42" s="12" t="s">
        <v>44</v>
      </c>
      <c r="E42" s="12">
        <v>10</v>
      </c>
      <c r="F42" s="12" t="s">
        <v>44</v>
      </c>
      <c r="G42" s="47">
        <v>10</v>
      </c>
      <c r="H42" s="12" t="s">
        <v>44</v>
      </c>
      <c r="I42" s="12" t="s">
        <v>44</v>
      </c>
      <c r="J42" s="12" t="s">
        <v>44</v>
      </c>
      <c r="K42" s="47" t="s">
        <v>44</v>
      </c>
      <c r="L42" s="12" t="s">
        <v>44</v>
      </c>
      <c r="M42" s="12" t="s">
        <v>44</v>
      </c>
      <c r="N42" s="12" t="s">
        <v>44</v>
      </c>
      <c r="O42" s="47" t="s">
        <v>44</v>
      </c>
      <c r="P42" s="12" t="s">
        <v>44</v>
      </c>
      <c r="Q42" s="12" t="s">
        <v>44</v>
      </c>
      <c r="R42" s="12" t="s">
        <v>44</v>
      </c>
      <c r="S42" s="47" t="s">
        <v>44</v>
      </c>
      <c r="T42" s="12" t="s">
        <v>44</v>
      </c>
      <c r="U42" s="12" t="s">
        <v>44</v>
      </c>
      <c r="V42" s="12" t="s">
        <v>44</v>
      </c>
      <c r="W42" s="47" t="s">
        <v>44</v>
      </c>
      <c r="X42" s="12" t="s">
        <v>44</v>
      </c>
      <c r="Y42" s="12" t="s">
        <v>44</v>
      </c>
      <c r="Z42" s="12" t="s">
        <v>44</v>
      </c>
      <c r="AA42" s="47" t="s">
        <v>44</v>
      </c>
      <c r="AB42" s="24">
        <v>10</v>
      </c>
    </row>
    <row r="43" spans="1:28" ht="20" customHeight="1" x14ac:dyDescent="0.2">
      <c r="A43" s="55" t="s">
        <v>9</v>
      </c>
      <c r="B43" s="53" t="str">
        <f>'CLASSIFICA ORDINATA'!B42</f>
        <v>madonte</v>
      </c>
      <c r="C43" s="53" t="str">
        <f>VLOOKUP(B43,nomi!B:C,2,FALSE)</f>
        <v>GTRC_madonte</v>
      </c>
      <c r="D43" s="12" t="s">
        <v>44</v>
      </c>
      <c r="E43" s="12">
        <v>8</v>
      </c>
      <c r="F43" s="12" t="s">
        <v>44</v>
      </c>
      <c r="G43" s="47">
        <v>8</v>
      </c>
      <c r="H43" s="12" t="s">
        <v>44</v>
      </c>
      <c r="I43" s="12" t="s">
        <v>44</v>
      </c>
      <c r="J43" s="12" t="s">
        <v>44</v>
      </c>
      <c r="K43" s="47" t="s">
        <v>44</v>
      </c>
      <c r="L43" s="12" t="s">
        <v>44</v>
      </c>
      <c r="M43" s="12" t="s">
        <v>44</v>
      </c>
      <c r="N43" s="12" t="s">
        <v>44</v>
      </c>
      <c r="O43" s="47" t="s">
        <v>44</v>
      </c>
      <c r="P43" s="20" t="s">
        <v>44</v>
      </c>
      <c r="Q43" s="20" t="s">
        <v>44</v>
      </c>
      <c r="R43" s="20" t="s">
        <v>44</v>
      </c>
      <c r="S43" s="47" t="s">
        <v>44</v>
      </c>
      <c r="T43" s="12" t="s">
        <v>44</v>
      </c>
      <c r="U43" s="12" t="s">
        <v>44</v>
      </c>
      <c r="V43" s="12" t="s">
        <v>44</v>
      </c>
      <c r="W43" s="47" t="s">
        <v>44</v>
      </c>
      <c r="X43" s="12" t="s">
        <v>44</v>
      </c>
      <c r="Y43" s="12" t="s">
        <v>44</v>
      </c>
      <c r="Z43" s="12" t="s">
        <v>44</v>
      </c>
      <c r="AA43" s="47" t="s">
        <v>44</v>
      </c>
      <c r="AB43" s="24">
        <v>8</v>
      </c>
    </row>
    <row r="44" spans="1:28" ht="20" customHeight="1" x14ac:dyDescent="0.2">
      <c r="A44" s="55" t="s">
        <v>10</v>
      </c>
      <c r="B44" s="53" t="str">
        <f>'CLASSIFICA ORDINATA'!B43</f>
        <v>RMT_GEFF-21</v>
      </c>
      <c r="C44" s="53" t="str">
        <f>VLOOKUP(B44,nomi!B:C,2,FALSE)</f>
        <v>DIEGHITO BOSS</v>
      </c>
      <c r="D44" s="20" t="s">
        <v>44</v>
      </c>
      <c r="E44" s="20">
        <v>6</v>
      </c>
      <c r="F44" s="20" t="s">
        <v>44</v>
      </c>
      <c r="G44" s="47">
        <v>6</v>
      </c>
      <c r="H44" s="12" t="s">
        <v>44</v>
      </c>
      <c r="I44" s="12" t="s">
        <v>44</v>
      </c>
      <c r="J44" s="12" t="s">
        <v>44</v>
      </c>
      <c r="K44" s="47" t="s">
        <v>44</v>
      </c>
      <c r="L44" s="12" t="s">
        <v>44</v>
      </c>
      <c r="M44" s="12" t="s">
        <v>44</v>
      </c>
      <c r="N44" s="12" t="s">
        <v>44</v>
      </c>
      <c r="O44" s="47" t="s">
        <v>44</v>
      </c>
      <c r="P44" s="12" t="s">
        <v>44</v>
      </c>
      <c r="Q44" s="12" t="s">
        <v>44</v>
      </c>
      <c r="R44" s="12" t="s">
        <v>44</v>
      </c>
      <c r="S44" s="47" t="s">
        <v>44</v>
      </c>
      <c r="T44" s="12" t="s">
        <v>44</v>
      </c>
      <c r="U44" s="12" t="s">
        <v>44</v>
      </c>
      <c r="V44" s="12" t="s">
        <v>44</v>
      </c>
      <c r="W44" s="47" t="s">
        <v>44</v>
      </c>
      <c r="X44" s="12" t="s">
        <v>44</v>
      </c>
      <c r="Y44" s="12" t="s">
        <v>44</v>
      </c>
      <c r="Z44" s="12" t="s">
        <v>44</v>
      </c>
      <c r="AA44" s="47" t="s">
        <v>44</v>
      </c>
      <c r="AB44" s="24">
        <v>6</v>
      </c>
    </row>
    <row r="45" spans="1:28" ht="20" customHeight="1" x14ac:dyDescent="0.2">
      <c r="A45" s="55" t="s">
        <v>11</v>
      </c>
      <c r="B45" s="53" t="str">
        <f>'CLASSIFICA ORDINATA'!B44</f>
        <v>Cjcerbola</v>
      </c>
      <c r="C45" s="53" t="str">
        <f>VLOOKUP(B45,nomi!B:C,2,FALSE)</f>
        <v>Dct_Cjcerbola</v>
      </c>
      <c r="D45" s="12" t="s">
        <v>44</v>
      </c>
      <c r="E45" s="12">
        <v>5</v>
      </c>
      <c r="F45" s="12" t="s">
        <v>44</v>
      </c>
      <c r="G45" s="47">
        <v>5</v>
      </c>
      <c r="H45" s="12" t="s">
        <v>44</v>
      </c>
      <c r="I45" s="12" t="s">
        <v>44</v>
      </c>
      <c r="J45" s="12" t="s">
        <v>44</v>
      </c>
      <c r="K45" s="47" t="s">
        <v>44</v>
      </c>
      <c r="L45" s="20" t="s">
        <v>44</v>
      </c>
      <c r="M45" s="20" t="s">
        <v>44</v>
      </c>
      <c r="N45" s="20" t="s">
        <v>44</v>
      </c>
      <c r="O45" s="47" t="s">
        <v>44</v>
      </c>
      <c r="P45" s="12" t="s">
        <v>44</v>
      </c>
      <c r="Q45" s="12" t="s">
        <v>44</v>
      </c>
      <c r="R45" s="12" t="s">
        <v>44</v>
      </c>
      <c r="S45" s="47" t="s">
        <v>44</v>
      </c>
      <c r="T45" s="20" t="s">
        <v>44</v>
      </c>
      <c r="U45" s="20" t="s">
        <v>44</v>
      </c>
      <c r="V45" s="20" t="s">
        <v>44</v>
      </c>
      <c r="W45" s="47" t="s">
        <v>44</v>
      </c>
      <c r="X45" s="12" t="s">
        <v>44</v>
      </c>
      <c r="Y45" s="12" t="s">
        <v>44</v>
      </c>
      <c r="Z45" s="12" t="s">
        <v>44</v>
      </c>
      <c r="AA45" s="47" t="s">
        <v>44</v>
      </c>
      <c r="AB45" s="24">
        <v>5</v>
      </c>
    </row>
    <row r="46" spans="1:28" ht="20" customHeight="1" x14ac:dyDescent="0.2">
      <c r="A46" s="55" t="s">
        <v>12</v>
      </c>
      <c r="B46" s="53" t="str">
        <f>'CLASSIFICA ORDINATA'!B45</f>
        <v>mirkozaffaron296</v>
      </c>
      <c r="C46" s="53" t="str">
        <f>VLOOKUP(B46,nomi!B:C,2,FALSE)</f>
        <v xml:space="preserve">GTRC-MIRKOZAFFA </v>
      </c>
      <c r="D46" s="49" t="s">
        <v>44</v>
      </c>
      <c r="E46" s="20">
        <v>4</v>
      </c>
      <c r="F46" s="20" t="s">
        <v>44</v>
      </c>
      <c r="G46" s="47">
        <v>4</v>
      </c>
      <c r="H46" s="12" t="s">
        <v>44</v>
      </c>
      <c r="I46" s="12" t="s">
        <v>44</v>
      </c>
      <c r="J46" s="12" t="s">
        <v>44</v>
      </c>
      <c r="K46" s="47" t="s">
        <v>44</v>
      </c>
      <c r="L46" s="12" t="s">
        <v>44</v>
      </c>
      <c r="M46" s="12" t="s">
        <v>44</v>
      </c>
      <c r="N46" s="12" t="s">
        <v>44</v>
      </c>
      <c r="O46" s="47" t="s">
        <v>44</v>
      </c>
      <c r="P46" s="20" t="s">
        <v>44</v>
      </c>
      <c r="Q46" s="20" t="s">
        <v>44</v>
      </c>
      <c r="R46" s="20" t="s">
        <v>44</v>
      </c>
      <c r="S46" s="47" t="s">
        <v>44</v>
      </c>
      <c r="T46" s="20" t="s">
        <v>44</v>
      </c>
      <c r="U46" s="20" t="s">
        <v>44</v>
      </c>
      <c r="V46" s="20" t="s">
        <v>44</v>
      </c>
      <c r="W46" s="47" t="s">
        <v>44</v>
      </c>
      <c r="X46" s="20" t="s">
        <v>44</v>
      </c>
      <c r="Y46" s="20" t="s">
        <v>44</v>
      </c>
      <c r="Z46" s="20" t="s">
        <v>44</v>
      </c>
      <c r="AA46" s="47" t="s">
        <v>44</v>
      </c>
      <c r="AB46" s="24">
        <v>4</v>
      </c>
    </row>
    <row r="47" spans="1:28" ht="20" customHeight="1" x14ac:dyDescent="0.2">
      <c r="A47" s="55" t="s">
        <v>13</v>
      </c>
      <c r="B47" s="53" t="str">
        <f>'CLASSIFICA ORDINATA'!B46</f>
        <v>TLM_CaLiGoLa</v>
      </c>
      <c r="C47" s="53" t="str">
        <f>VLOOKUP(B47,nomi!B:C,2,FALSE)</f>
        <v>TLM_CaLiGoLa</v>
      </c>
      <c r="D47" s="20" t="s">
        <v>44</v>
      </c>
      <c r="E47" s="20">
        <v>3</v>
      </c>
      <c r="F47" s="20" t="s">
        <v>44</v>
      </c>
      <c r="G47" s="47">
        <v>3</v>
      </c>
      <c r="H47" s="12" t="s">
        <v>44</v>
      </c>
      <c r="I47" s="12" t="s">
        <v>44</v>
      </c>
      <c r="J47" s="12" t="s">
        <v>44</v>
      </c>
      <c r="K47" s="47" t="s">
        <v>44</v>
      </c>
      <c r="L47" s="20" t="s">
        <v>44</v>
      </c>
      <c r="M47" s="20" t="s">
        <v>44</v>
      </c>
      <c r="N47" s="20" t="s">
        <v>44</v>
      </c>
      <c r="O47" s="47" t="s">
        <v>44</v>
      </c>
      <c r="P47" s="20" t="s">
        <v>44</v>
      </c>
      <c r="Q47" s="20" t="s">
        <v>44</v>
      </c>
      <c r="R47" s="20" t="s">
        <v>44</v>
      </c>
      <c r="S47" s="47" t="s">
        <v>44</v>
      </c>
      <c r="T47" s="20" t="s">
        <v>44</v>
      </c>
      <c r="U47" s="20" t="s">
        <v>44</v>
      </c>
      <c r="V47" s="20" t="s">
        <v>44</v>
      </c>
      <c r="W47" s="47" t="s">
        <v>44</v>
      </c>
      <c r="X47" s="12" t="s">
        <v>44</v>
      </c>
      <c r="Y47" s="12" t="s">
        <v>44</v>
      </c>
      <c r="Z47" s="12" t="s">
        <v>44</v>
      </c>
      <c r="AA47" s="47" t="s">
        <v>44</v>
      </c>
      <c r="AB47" s="24">
        <v>3</v>
      </c>
    </row>
    <row r="48" spans="1:28" ht="20" customHeight="1" x14ac:dyDescent="0.2">
      <c r="A48" s="55" t="s">
        <v>20</v>
      </c>
      <c r="B48" s="53" t="str">
        <f>'CLASSIFICA ORDINATA'!B47</f>
        <v>Isnotacrime</v>
      </c>
      <c r="C48" s="53" t="str">
        <f>VLOOKUP(B48,nomi!B:C,2,FALSE)</f>
        <v xml:space="preserve">TLM isnotacrime </v>
      </c>
      <c r="D48" s="20" t="s">
        <v>44</v>
      </c>
      <c r="E48" s="20">
        <v>0</v>
      </c>
      <c r="F48" s="20" t="s">
        <v>44</v>
      </c>
      <c r="G48" s="47" t="s">
        <v>44</v>
      </c>
      <c r="H48" s="20" t="s">
        <v>44</v>
      </c>
      <c r="I48" s="20" t="s">
        <v>44</v>
      </c>
      <c r="J48" s="20" t="s">
        <v>44</v>
      </c>
      <c r="K48" s="47" t="s">
        <v>44</v>
      </c>
      <c r="L48" s="20" t="s">
        <v>44</v>
      </c>
      <c r="M48" s="20" t="s">
        <v>44</v>
      </c>
      <c r="N48" s="20" t="s">
        <v>44</v>
      </c>
      <c r="O48" s="47" t="s">
        <v>44</v>
      </c>
      <c r="P48" s="12" t="s">
        <v>44</v>
      </c>
      <c r="Q48" s="12" t="s">
        <v>44</v>
      </c>
      <c r="R48" s="12" t="s">
        <v>44</v>
      </c>
      <c r="S48" s="47" t="s">
        <v>44</v>
      </c>
      <c r="T48" s="20" t="s">
        <v>44</v>
      </c>
      <c r="U48" s="20" t="s">
        <v>44</v>
      </c>
      <c r="V48" s="20" t="s">
        <v>44</v>
      </c>
      <c r="W48" s="47" t="s">
        <v>44</v>
      </c>
      <c r="X48" s="12" t="s">
        <v>44</v>
      </c>
      <c r="Y48" s="12" t="s">
        <v>44</v>
      </c>
      <c r="Z48" s="12" t="s">
        <v>44</v>
      </c>
      <c r="AA48" s="47" t="s">
        <v>44</v>
      </c>
      <c r="AB48" s="24">
        <v>0</v>
      </c>
    </row>
    <row r="49" spans="1:28" ht="20" customHeight="1" x14ac:dyDescent="0.2">
      <c r="A49" s="55" t="s">
        <v>21</v>
      </c>
      <c r="B49" s="53" t="str">
        <f>'CLASSIFICA ORDINATA'!B48</f>
        <v>Patanel86</v>
      </c>
      <c r="C49" s="53" t="str">
        <f>VLOOKUP(B49,nomi!B:C,2,FALSE)</f>
        <v>TLM_PataneL86</v>
      </c>
      <c r="D49" s="20" t="s">
        <v>44</v>
      </c>
      <c r="E49" s="20" t="s">
        <v>44</v>
      </c>
      <c r="F49" s="20" t="s">
        <v>44</v>
      </c>
      <c r="G49" s="47" t="s">
        <v>44</v>
      </c>
      <c r="H49" s="20" t="s">
        <v>44</v>
      </c>
      <c r="I49" s="20" t="s">
        <v>44</v>
      </c>
      <c r="J49" s="20" t="s">
        <v>44</v>
      </c>
      <c r="K49" s="47" t="s">
        <v>44</v>
      </c>
      <c r="L49" s="20" t="s">
        <v>44</v>
      </c>
      <c r="M49" s="20" t="s">
        <v>44</v>
      </c>
      <c r="N49" s="20" t="s">
        <v>44</v>
      </c>
      <c r="O49" s="47" t="s">
        <v>44</v>
      </c>
      <c r="P49" s="12" t="s">
        <v>44</v>
      </c>
      <c r="Q49" s="12" t="s">
        <v>44</v>
      </c>
      <c r="R49" s="12" t="s">
        <v>44</v>
      </c>
      <c r="S49" s="47" t="s">
        <v>44</v>
      </c>
      <c r="T49" s="20" t="s">
        <v>44</v>
      </c>
      <c r="U49" s="20" t="s">
        <v>44</v>
      </c>
      <c r="V49" s="20" t="s">
        <v>44</v>
      </c>
      <c r="W49" s="47" t="s">
        <v>44</v>
      </c>
      <c r="X49" s="12" t="s">
        <v>44</v>
      </c>
      <c r="Y49" s="12" t="s">
        <v>44</v>
      </c>
      <c r="Z49" s="12" t="s">
        <v>44</v>
      </c>
      <c r="AA49" s="47" t="s">
        <v>44</v>
      </c>
      <c r="AB49" s="24" t="s">
        <v>44</v>
      </c>
    </row>
    <row r="50" spans="1:28" ht="20" customHeight="1" x14ac:dyDescent="0.2">
      <c r="A50" s="98" t="s">
        <v>51</v>
      </c>
      <c r="B50" s="103"/>
      <c r="C50" s="64"/>
      <c r="D50" s="41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</row>
    <row r="51" spans="1:28" ht="20" customHeight="1" x14ac:dyDescent="0.2">
      <c r="A51" s="52" t="s">
        <v>2</v>
      </c>
      <c r="B51" s="53" t="str">
        <f>'CLASSIFICA ORDINATA'!B50</f>
        <v>RMT _SILVERMAN-AC</v>
      </c>
      <c r="C51" s="53" t="str">
        <f>VLOOKUP(B51,nomi!B:C,2,FALSE)</f>
        <v>L.Silvestri</v>
      </c>
      <c r="D51" s="12" t="s">
        <v>44</v>
      </c>
      <c r="E51" s="12">
        <v>25</v>
      </c>
      <c r="F51" s="12" t="s">
        <v>44</v>
      </c>
      <c r="G51" s="47">
        <v>25</v>
      </c>
      <c r="H51" s="12" t="s">
        <v>44</v>
      </c>
      <c r="I51" s="12" t="s">
        <v>44</v>
      </c>
      <c r="J51" s="12" t="s">
        <v>44</v>
      </c>
      <c r="K51" s="47" t="s">
        <v>44</v>
      </c>
      <c r="L51" s="12" t="s">
        <v>44</v>
      </c>
      <c r="M51" s="12" t="s">
        <v>44</v>
      </c>
      <c r="N51" s="12" t="s">
        <v>44</v>
      </c>
      <c r="O51" s="47" t="s">
        <v>44</v>
      </c>
      <c r="P51" s="12" t="s">
        <v>44</v>
      </c>
      <c r="Q51" s="12" t="s">
        <v>44</v>
      </c>
      <c r="R51" s="12" t="s">
        <v>44</v>
      </c>
      <c r="S51" s="47" t="s">
        <v>44</v>
      </c>
      <c r="T51" s="12" t="s">
        <v>44</v>
      </c>
      <c r="U51" s="12" t="s">
        <v>44</v>
      </c>
      <c r="V51" s="12" t="s">
        <v>44</v>
      </c>
      <c r="W51" s="47" t="s">
        <v>44</v>
      </c>
      <c r="X51" s="12" t="s">
        <v>44</v>
      </c>
      <c r="Y51" s="12" t="s">
        <v>44</v>
      </c>
      <c r="Z51" s="12" t="s">
        <v>44</v>
      </c>
      <c r="AA51" s="47" t="s">
        <v>44</v>
      </c>
      <c r="AB51" s="24">
        <v>25</v>
      </c>
    </row>
    <row r="52" spans="1:28" ht="20" customHeight="1" x14ac:dyDescent="0.2">
      <c r="A52" s="54" t="s">
        <v>3</v>
      </c>
      <c r="B52" s="53" t="str">
        <f>'CLASSIFICA ORDINATA'!B51</f>
        <v>DRT-Mirkobenny85</v>
      </c>
      <c r="C52" s="53" t="str">
        <f>VLOOKUP(B52,nomi!B:C,2,FALSE)</f>
        <v>M.Bennardo</v>
      </c>
      <c r="D52" s="12">
        <v>1</v>
      </c>
      <c r="E52" s="12">
        <v>20</v>
      </c>
      <c r="F52" s="12" t="s">
        <v>44</v>
      </c>
      <c r="G52" s="47">
        <v>21</v>
      </c>
      <c r="H52" s="12" t="s">
        <v>44</v>
      </c>
      <c r="I52" s="12" t="s">
        <v>44</v>
      </c>
      <c r="J52" s="12" t="s">
        <v>44</v>
      </c>
      <c r="K52" s="47" t="s">
        <v>44</v>
      </c>
      <c r="L52" s="12" t="s">
        <v>44</v>
      </c>
      <c r="M52" s="12" t="s">
        <v>44</v>
      </c>
      <c r="N52" s="12" t="s">
        <v>44</v>
      </c>
      <c r="O52" s="47" t="s">
        <v>44</v>
      </c>
      <c r="P52" s="12" t="s">
        <v>44</v>
      </c>
      <c r="Q52" s="12" t="s">
        <v>44</v>
      </c>
      <c r="R52" s="12" t="s">
        <v>44</v>
      </c>
      <c r="S52" s="47" t="s">
        <v>44</v>
      </c>
      <c r="T52" s="12" t="s">
        <v>44</v>
      </c>
      <c r="U52" s="12" t="s">
        <v>44</v>
      </c>
      <c r="V52" s="12" t="s">
        <v>44</v>
      </c>
      <c r="W52" s="47" t="s">
        <v>44</v>
      </c>
      <c r="X52" s="12" t="s">
        <v>44</v>
      </c>
      <c r="Y52" s="12" t="s">
        <v>44</v>
      </c>
      <c r="Z52" s="12" t="s">
        <v>44</v>
      </c>
      <c r="AA52" s="47" t="s">
        <v>44</v>
      </c>
      <c r="AB52" s="24">
        <v>21</v>
      </c>
    </row>
    <row r="53" spans="1:28" ht="20" customHeight="1" x14ac:dyDescent="0.2">
      <c r="A53" s="55" t="s">
        <v>4</v>
      </c>
      <c r="B53" s="53" t="str">
        <f>'CLASSIFICA ORDINATA'!B52</f>
        <v>Parenji</v>
      </c>
      <c r="C53" s="53" t="str">
        <f>VLOOKUP(B53,nomi!B:C,2,FALSE)</f>
        <v>TLM_Parenti</v>
      </c>
      <c r="D53" s="12" t="s">
        <v>44</v>
      </c>
      <c r="E53" s="12">
        <v>18</v>
      </c>
      <c r="F53" s="12">
        <v>1</v>
      </c>
      <c r="G53" s="47">
        <v>19</v>
      </c>
      <c r="H53" s="12" t="s">
        <v>44</v>
      </c>
      <c r="I53" s="12" t="s">
        <v>44</v>
      </c>
      <c r="J53" s="12" t="s">
        <v>44</v>
      </c>
      <c r="K53" s="47" t="s">
        <v>44</v>
      </c>
      <c r="L53" s="12" t="s">
        <v>44</v>
      </c>
      <c r="M53" s="12" t="s">
        <v>44</v>
      </c>
      <c r="N53" s="12" t="s">
        <v>44</v>
      </c>
      <c r="O53" s="47" t="s">
        <v>44</v>
      </c>
      <c r="P53" s="12" t="s">
        <v>44</v>
      </c>
      <c r="Q53" s="12" t="s">
        <v>44</v>
      </c>
      <c r="R53" s="12" t="s">
        <v>44</v>
      </c>
      <c r="S53" s="47" t="s">
        <v>44</v>
      </c>
      <c r="T53" s="12" t="s">
        <v>44</v>
      </c>
      <c r="U53" s="12" t="s">
        <v>44</v>
      </c>
      <c r="V53" s="12" t="s">
        <v>44</v>
      </c>
      <c r="W53" s="47" t="s">
        <v>44</v>
      </c>
      <c r="X53" s="12" t="s">
        <v>44</v>
      </c>
      <c r="Y53" s="12" t="s">
        <v>44</v>
      </c>
      <c r="Z53" s="12" t="s">
        <v>44</v>
      </c>
      <c r="AA53" s="47" t="s">
        <v>44</v>
      </c>
      <c r="AB53" s="24">
        <v>19</v>
      </c>
    </row>
    <row r="54" spans="1:28" ht="20" customHeight="1" x14ac:dyDescent="0.2">
      <c r="A54" s="55" t="s">
        <v>5</v>
      </c>
      <c r="B54" s="53" t="str">
        <f>'CLASSIFICA ORDINATA'!B53</f>
        <v>X-Gianni-</v>
      </c>
      <c r="C54" s="53" t="str">
        <f>VLOOKUP(B54,nomi!B:C,2,FALSE)</f>
        <v>GTRC-X-Gianni-</v>
      </c>
      <c r="D54" s="12" t="s">
        <v>44</v>
      </c>
      <c r="E54" s="12">
        <v>16</v>
      </c>
      <c r="F54" s="12" t="s">
        <v>44</v>
      </c>
      <c r="G54" s="47">
        <v>16</v>
      </c>
      <c r="H54" s="12" t="s">
        <v>44</v>
      </c>
      <c r="I54" s="12" t="s">
        <v>44</v>
      </c>
      <c r="J54" s="12" t="s">
        <v>44</v>
      </c>
      <c r="K54" s="47" t="s">
        <v>44</v>
      </c>
      <c r="L54" s="12" t="s">
        <v>44</v>
      </c>
      <c r="M54" s="12" t="s">
        <v>44</v>
      </c>
      <c r="N54" s="12" t="s">
        <v>44</v>
      </c>
      <c r="O54" s="47" t="s">
        <v>44</v>
      </c>
      <c r="P54" s="49" t="s">
        <v>44</v>
      </c>
      <c r="Q54" s="20" t="s">
        <v>44</v>
      </c>
      <c r="R54" s="20" t="s">
        <v>44</v>
      </c>
      <c r="S54" s="47" t="s">
        <v>44</v>
      </c>
      <c r="T54" s="12" t="s">
        <v>44</v>
      </c>
      <c r="U54" s="12" t="s">
        <v>44</v>
      </c>
      <c r="V54" s="12" t="s">
        <v>44</v>
      </c>
      <c r="W54" s="47" t="s">
        <v>44</v>
      </c>
      <c r="X54" s="12" t="s">
        <v>44</v>
      </c>
      <c r="Y54" s="12" t="s">
        <v>44</v>
      </c>
      <c r="Z54" s="12" t="s">
        <v>44</v>
      </c>
      <c r="AA54" s="47" t="s">
        <v>44</v>
      </c>
      <c r="AB54" s="24">
        <v>16</v>
      </c>
    </row>
    <row r="55" spans="1:28" ht="20" customHeight="1" x14ac:dyDescent="0.2">
      <c r="A55" s="55" t="s">
        <v>6</v>
      </c>
      <c r="B55" s="53" t="str">
        <f>'CLASSIFICA ORDINATA'!B54</f>
        <v>Mikedb__91__</v>
      </c>
      <c r="C55" s="53" t="str">
        <f>VLOOKUP(B55,nomi!B:C,2,FALSE)</f>
        <v>TLM-Mike91</v>
      </c>
      <c r="D55" s="12" t="s">
        <v>44</v>
      </c>
      <c r="E55" s="12">
        <v>14</v>
      </c>
      <c r="F55" s="12" t="s">
        <v>44</v>
      </c>
      <c r="G55" s="47">
        <v>14</v>
      </c>
      <c r="H55" s="12" t="s">
        <v>44</v>
      </c>
      <c r="I55" s="12" t="s">
        <v>44</v>
      </c>
      <c r="J55" s="12" t="s">
        <v>44</v>
      </c>
      <c r="K55" s="47" t="s">
        <v>44</v>
      </c>
      <c r="L55" s="12" t="s">
        <v>44</v>
      </c>
      <c r="M55" s="12" t="s">
        <v>44</v>
      </c>
      <c r="N55" s="12" t="s">
        <v>44</v>
      </c>
      <c r="O55" s="47" t="s">
        <v>44</v>
      </c>
      <c r="P55" s="12" t="s">
        <v>44</v>
      </c>
      <c r="Q55" s="12" t="s">
        <v>44</v>
      </c>
      <c r="R55" s="12" t="s">
        <v>44</v>
      </c>
      <c r="S55" s="47" t="s">
        <v>44</v>
      </c>
      <c r="T55" s="12" t="s">
        <v>44</v>
      </c>
      <c r="U55" s="12" t="s">
        <v>44</v>
      </c>
      <c r="V55" s="12" t="s">
        <v>44</v>
      </c>
      <c r="W55" s="47" t="s">
        <v>44</v>
      </c>
      <c r="X55" s="12" t="s">
        <v>44</v>
      </c>
      <c r="Y55" s="12" t="s">
        <v>44</v>
      </c>
      <c r="Z55" s="12" t="s">
        <v>44</v>
      </c>
      <c r="AA55" s="47" t="s">
        <v>44</v>
      </c>
      <c r="AB55" s="24">
        <v>14</v>
      </c>
    </row>
    <row r="56" spans="1:28" ht="20" customHeight="1" x14ac:dyDescent="0.2">
      <c r="A56" s="55" t="s">
        <v>7</v>
      </c>
      <c r="B56" s="53" t="str">
        <f>'CLASSIFICA ORDINATA'!B55</f>
        <v>Pennysss71</v>
      </c>
      <c r="C56" s="53" t="str">
        <f>VLOOKUP(B56,nomi!B:C,2,FALSE)</f>
        <v>D.Apicella</v>
      </c>
      <c r="D56" s="12" t="s">
        <v>44</v>
      </c>
      <c r="E56" s="12">
        <v>12</v>
      </c>
      <c r="F56" s="12" t="s">
        <v>44</v>
      </c>
      <c r="G56" s="47">
        <v>12</v>
      </c>
      <c r="H56" s="12" t="s">
        <v>44</v>
      </c>
      <c r="I56" s="12" t="s">
        <v>44</v>
      </c>
      <c r="J56" s="12" t="s">
        <v>44</v>
      </c>
      <c r="K56" s="47" t="s">
        <v>44</v>
      </c>
      <c r="L56" s="20" t="s">
        <v>44</v>
      </c>
      <c r="M56" s="20" t="s">
        <v>44</v>
      </c>
      <c r="N56" s="20" t="s">
        <v>44</v>
      </c>
      <c r="O56" s="47" t="s">
        <v>44</v>
      </c>
      <c r="P56" s="12" t="s">
        <v>44</v>
      </c>
      <c r="Q56" s="12" t="s">
        <v>44</v>
      </c>
      <c r="R56" s="12" t="s">
        <v>44</v>
      </c>
      <c r="S56" s="47" t="s">
        <v>44</v>
      </c>
      <c r="T56" s="12" t="s">
        <v>44</v>
      </c>
      <c r="U56" s="12" t="s">
        <v>44</v>
      </c>
      <c r="V56" s="12" t="s">
        <v>44</v>
      </c>
      <c r="W56" s="47" t="s">
        <v>44</v>
      </c>
      <c r="X56" s="12" t="s">
        <v>44</v>
      </c>
      <c r="Y56" s="12" t="s">
        <v>44</v>
      </c>
      <c r="Z56" s="12" t="s">
        <v>44</v>
      </c>
      <c r="AA56" s="47" t="s">
        <v>44</v>
      </c>
      <c r="AB56" s="24">
        <v>12</v>
      </c>
    </row>
    <row r="57" spans="1:28" ht="20" customHeight="1" x14ac:dyDescent="0.2">
      <c r="A57" s="55" t="s">
        <v>8</v>
      </c>
      <c r="B57" s="53" t="str">
        <f>'CLASSIFICA ORDINATA'!B56</f>
        <v>Tonyroto74</v>
      </c>
      <c r="C57" s="53" t="str">
        <f>VLOOKUP(B57,nomi!B:C,2,FALSE)</f>
        <v>Tonyroto</v>
      </c>
      <c r="D57" s="12" t="s">
        <v>44</v>
      </c>
      <c r="E57" s="12">
        <v>10</v>
      </c>
      <c r="F57" s="12" t="s">
        <v>44</v>
      </c>
      <c r="G57" s="47">
        <v>10</v>
      </c>
      <c r="H57" s="12" t="s">
        <v>44</v>
      </c>
      <c r="I57" s="12" t="s">
        <v>44</v>
      </c>
      <c r="J57" s="12" t="s">
        <v>44</v>
      </c>
      <c r="K57" s="47" t="s">
        <v>44</v>
      </c>
      <c r="L57" s="12" t="s">
        <v>44</v>
      </c>
      <c r="M57" s="12" t="s">
        <v>44</v>
      </c>
      <c r="N57" s="12" t="s">
        <v>44</v>
      </c>
      <c r="O57" s="47" t="s">
        <v>44</v>
      </c>
      <c r="P57" s="12" t="s">
        <v>44</v>
      </c>
      <c r="Q57" s="12" t="s">
        <v>44</v>
      </c>
      <c r="R57" s="12" t="s">
        <v>44</v>
      </c>
      <c r="S57" s="47" t="s">
        <v>44</v>
      </c>
      <c r="T57" s="12" t="s">
        <v>44</v>
      </c>
      <c r="U57" s="12" t="s">
        <v>44</v>
      </c>
      <c r="V57" s="12" t="s">
        <v>44</v>
      </c>
      <c r="W57" s="47" t="s">
        <v>44</v>
      </c>
      <c r="X57" s="12" t="s">
        <v>44</v>
      </c>
      <c r="Y57" s="12" t="s">
        <v>44</v>
      </c>
      <c r="Z57" s="12" t="s">
        <v>44</v>
      </c>
      <c r="AA57" s="47" t="s">
        <v>44</v>
      </c>
      <c r="AB57" s="24">
        <v>10</v>
      </c>
    </row>
    <row r="58" spans="1:28" ht="20" customHeight="1" x14ac:dyDescent="0.2">
      <c r="A58" s="55" t="s">
        <v>9</v>
      </c>
      <c r="B58" s="53" t="str">
        <f>'CLASSIFICA ORDINATA'!B57</f>
        <v>Silentium884</v>
      </c>
      <c r="C58" s="53" t="str">
        <f>VLOOKUP(B58,nomi!B:C,2,FALSE)</f>
        <v>TLM_Sile</v>
      </c>
      <c r="D58" s="12" t="s">
        <v>44</v>
      </c>
      <c r="E58" s="12">
        <v>8</v>
      </c>
      <c r="F58" s="12" t="s">
        <v>44</v>
      </c>
      <c r="G58" s="47">
        <v>8</v>
      </c>
      <c r="H58" s="12" t="s">
        <v>44</v>
      </c>
      <c r="I58" s="12" t="s">
        <v>44</v>
      </c>
      <c r="J58" s="12" t="s">
        <v>44</v>
      </c>
      <c r="K58" s="47" t="s">
        <v>44</v>
      </c>
      <c r="L58" s="12" t="s">
        <v>44</v>
      </c>
      <c r="M58" s="12" t="s">
        <v>44</v>
      </c>
      <c r="N58" s="12" t="s">
        <v>44</v>
      </c>
      <c r="O58" s="47" t="s">
        <v>44</v>
      </c>
      <c r="P58" s="20" t="s">
        <v>44</v>
      </c>
      <c r="Q58" s="20" t="s">
        <v>44</v>
      </c>
      <c r="R58" s="20" t="s">
        <v>44</v>
      </c>
      <c r="S58" s="47" t="s">
        <v>44</v>
      </c>
      <c r="T58" s="12" t="s">
        <v>44</v>
      </c>
      <c r="U58" s="12" t="s">
        <v>44</v>
      </c>
      <c r="V58" s="12" t="s">
        <v>44</v>
      </c>
      <c r="W58" s="47" t="s">
        <v>44</v>
      </c>
      <c r="X58" s="12" t="s">
        <v>44</v>
      </c>
      <c r="Y58" s="12" t="s">
        <v>44</v>
      </c>
      <c r="Z58" s="12" t="s">
        <v>44</v>
      </c>
      <c r="AA58" s="47" t="s">
        <v>44</v>
      </c>
      <c r="AB58" s="24">
        <v>8</v>
      </c>
    </row>
    <row r="59" spans="1:28" ht="20" customHeight="1" x14ac:dyDescent="0.2">
      <c r="A59" s="55" t="s">
        <v>10</v>
      </c>
      <c r="B59" s="53" t="str">
        <f>'CLASSIFICA ORDINATA'!B58</f>
        <v>Dani_CT1946</v>
      </c>
      <c r="C59" s="53" t="str">
        <f>VLOOKUP(B59,nomi!B:C,2,FALSE)</f>
        <v>Danict1946</v>
      </c>
      <c r="D59" s="20" t="s">
        <v>44</v>
      </c>
      <c r="E59" s="20">
        <v>6</v>
      </c>
      <c r="F59" s="20" t="s">
        <v>44</v>
      </c>
      <c r="G59" s="47">
        <v>6</v>
      </c>
      <c r="H59" s="12" t="s">
        <v>44</v>
      </c>
      <c r="I59" s="12" t="s">
        <v>44</v>
      </c>
      <c r="J59" s="12" t="s">
        <v>44</v>
      </c>
      <c r="K59" s="47" t="s">
        <v>44</v>
      </c>
      <c r="L59" s="12" t="s">
        <v>44</v>
      </c>
      <c r="M59" s="12" t="s">
        <v>44</v>
      </c>
      <c r="N59" s="12" t="s">
        <v>44</v>
      </c>
      <c r="O59" s="47" t="s">
        <v>44</v>
      </c>
      <c r="P59" s="12" t="s">
        <v>44</v>
      </c>
      <c r="Q59" s="12" t="s">
        <v>44</v>
      </c>
      <c r="R59" s="12" t="s">
        <v>44</v>
      </c>
      <c r="S59" s="47" t="s">
        <v>44</v>
      </c>
      <c r="T59" s="12" t="s">
        <v>44</v>
      </c>
      <c r="U59" s="12" t="s">
        <v>44</v>
      </c>
      <c r="V59" s="12" t="s">
        <v>44</v>
      </c>
      <c r="W59" s="47" t="s">
        <v>44</v>
      </c>
      <c r="X59" s="12" t="s">
        <v>44</v>
      </c>
      <c r="Y59" s="12" t="s">
        <v>44</v>
      </c>
      <c r="Z59" s="12" t="s">
        <v>44</v>
      </c>
      <c r="AA59" s="47" t="s">
        <v>44</v>
      </c>
      <c r="AB59" s="24">
        <v>6</v>
      </c>
    </row>
    <row r="60" spans="1:28" ht="20" customHeight="1" x14ac:dyDescent="0.2">
      <c r="A60" s="55" t="s">
        <v>11</v>
      </c>
      <c r="B60" s="53" t="str">
        <f>'CLASSIFICA ORDINATA'!B59</f>
        <v>Dimaaa66</v>
      </c>
      <c r="C60" s="53" t="str">
        <f>VLOOKUP(B60,nomi!B:C,2,FALSE)</f>
        <v>Dimaaa66</v>
      </c>
      <c r="D60" s="12" t="s">
        <v>44</v>
      </c>
      <c r="E60" s="12">
        <v>5</v>
      </c>
      <c r="F60" s="12" t="s">
        <v>44</v>
      </c>
      <c r="G60" s="47">
        <v>5</v>
      </c>
      <c r="H60" s="12" t="s">
        <v>44</v>
      </c>
      <c r="I60" s="12" t="s">
        <v>44</v>
      </c>
      <c r="J60" s="12" t="s">
        <v>44</v>
      </c>
      <c r="K60" s="47" t="s">
        <v>44</v>
      </c>
      <c r="L60" s="20" t="s">
        <v>44</v>
      </c>
      <c r="M60" s="20" t="s">
        <v>44</v>
      </c>
      <c r="N60" s="20" t="s">
        <v>44</v>
      </c>
      <c r="O60" s="47" t="s">
        <v>44</v>
      </c>
      <c r="P60" s="12" t="s">
        <v>44</v>
      </c>
      <c r="Q60" s="12" t="s">
        <v>44</v>
      </c>
      <c r="R60" s="12" t="s">
        <v>44</v>
      </c>
      <c r="S60" s="47" t="s">
        <v>44</v>
      </c>
      <c r="T60" s="20" t="s">
        <v>44</v>
      </c>
      <c r="U60" s="20" t="s">
        <v>44</v>
      </c>
      <c r="V60" s="20" t="s">
        <v>44</v>
      </c>
      <c r="W60" s="47" t="s">
        <v>44</v>
      </c>
      <c r="X60" s="12" t="s">
        <v>44</v>
      </c>
      <c r="Y60" s="12" t="s">
        <v>44</v>
      </c>
      <c r="Z60" s="12" t="s">
        <v>44</v>
      </c>
      <c r="AA60" s="47" t="s">
        <v>44</v>
      </c>
      <c r="AB60" s="24">
        <v>5</v>
      </c>
    </row>
    <row r="61" spans="1:28" ht="20" customHeight="1" x14ac:dyDescent="0.2">
      <c r="A61" s="55" t="s">
        <v>12</v>
      </c>
      <c r="B61" s="53" t="str">
        <f>'CLASSIFICA ORDINATA'!B60</f>
        <v>recidivo92</v>
      </c>
      <c r="C61" s="53" t="str">
        <f>VLOOKUP(B61,nomi!B:C,2,FALSE)</f>
        <v>ReciDivo92</v>
      </c>
      <c r="D61" s="49" t="s">
        <v>44</v>
      </c>
      <c r="E61" s="20">
        <v>4</v>
      </c>
      <c r="F61" s="20" t="s">
        <v>44</v>
      </c>
      <c r="G61" s="47">
        <v>4</v>
      </c>
      <c r="H61" s="12" t="s">
        <v>44</v>
      </c>
      <c r="I61" s="12" t="s">
        <v>44</v>
      </c>
      <c r="J61" s="12" t="s">
        <v>44</v>
      </c>
      <c r="K61" s="47" t="s">
        <v>44</v>
      </c>
      <c r="L61" s="12" t="s">
        <v>44</v>
      </c>
      <c r="M61" s="12" t="s">
        <v>44</v>
      </c>
      <c r="N61" s="12" t="s">
        <v>44</v>
      </c>
      <c r="O61" s="47" t="s">
        <v>44</v>
      </c>
      <c r="P61" s="20" t="s">
        <v>44</v>
      </c>
      <c r="Q61" s="20" t="s">
        <v>44</v>
      </c>
      <c r="R61" s="20" t="s">
        <v>44</v>
      </c>
      <c r="S61" s="47" t="s">
        <v>44</v>
      </c>
      <c r="T61" s="20" t="s">
        <v>44</v>
      </c>
      <c r="U61" s="20" t="s">
        <v>44</v>
      </c>
      <c r="V61" s="20" t="s">
        <v>44</v>
      </c>
      <c r="W61" s="47" t="s">
        <v>44</v>
      </c>
      <c r="X61" s="20" t="s">
        <v>44</v>
      </c>
      <c r="Y61" s="20" t="s">
        <v>44</v>
      </c>
      <c r="Z61" s="20" t="s">
        <v>44</v>
      </c>
      <c r="AA61" s="47" t="s">
        <v>44</v>
      </c>
      <c r="AB61" s="24">
        <v>4</v>
      </c>
    </row>
    <row r="62" spans="1:28" ht="20" customHeight="1" x14ac:dyDescent="0.2">
      <c r="A62" s="55" t="s">
        <v>13</v>
      </c>
      <c r="B62" s="53" t="str">
        <f>'CLASSIFICA ORDINATA'!B61</f>
        <v>mettiukc</v>
      </c>
      <c r="C62" s="53" t="str">
        <f>VLOOKUP(B62,nomi!B:C,2,FALSE)</f>
        <v>mettiukc</v>
      </c>
      <c r="D62" s="20" t="s">
        <v>44</v>
      </c>
      <c r="E62" s="20">
        <v>3</v>
      </c>
      <c r="F62" s="20" t="s">
        <v>44</v>
      </c>
      <c r="G62" s="47">
        <v>3</v>
      </c>
      <c r="H62" s="12" t="s">
        <v>44</v>
      </c>
      <c r="I62" s="12" t="s">
        <v>44</v>
      </c>
      <c r="J62" s="12" t="s">
        <v>44</v>
      </c>
      <c r="K62" s="47" t="s">
        <v>44</v>
      </c>
      <c r="L62" s="20" t="s">
        <v>44</v>
      </c>
      <c r="M62" s="20" t="s">
        <v>44</v>
      </c>
      <c r="N62" s="20" t="s">
        <v>44</v>
      </c>
      <c r="O62" s="47" t="s">
        <v>44</v>
      </c>
      <c r="P62" s="20" t="s">
        <v>44</v>
      </c>
      <c r="Q62" s="20" t="s">
        <v>44</v>
      </c>
      <c r="R62" s="20" t="s">
        <v>44</v>
      </c>
      <c r="S62" s="47" t="s">
        <v>44</v>
      </c>
      <c r="T62" s="20" t="s">
        <v>44</v>
      </c>
      <c r="U62" s="20" t="s">
        <v>44</v>
      </c>
      <c r="V62" s="20" t="s">
        <v>44</v>
      </c>
      <c r="W62" s="47" t="s">
        <v>44</v>
      </c>
      <c r="X62" s="12" t="s">
        <v>44</v>
      </c>
      <c r="Y62" s="12" t="s">
        <v>44</v>
      </c>
      <c r="Z62" s="12" t="s">
        <v>44</v>
      </c>
      <c r="AA62" s="47" t="s">
        <v>44</v>
      </c>
      <c r="AB62" s="24">
        <v>3</v>
      </c>
    </row>
    <row r="63" spans="1:28" ht="20" customHeight="1" x14ac:dyDescent="0.2">
      <c r="A63" s="55" t="s">
        <v>20</v>
      </c>
      <c r="B63" s="53" t="str">
        <f>'CLASSIFICA ORDINATA'!B62</f>
        <v>Rikas78</v>
      </c>
      <c r="C63" s="53" t="str">
        <f>VLOOKUP(B63,nomi!B:C,2,FALSE)</f>
        <v>Rikas78</v>
      </c>
      <c r="D63" s="20" t="s">
        <v>44</v>
      </c>
      <c r="E63" s="20">
        <v>2</v>
      </c>
      <c r="F63" s="20" t="s">
        <v>44</v>
      </c>
      <c r="G63" s="47">
        <v>2</v>
      </c>
      <c r="H63" s="20" t="s">
        <v>44</v>
      </c>
      <c r="I63" s="20" t="s">
        <v>44</v>
      </c>
      <c r="J63" s="20" t="s">
        <v>44</v>
      </c>
      <c r="K63" s="47" t="s">
        <v>44</v>
      </c>
      <c r="L63" s="20" t="s">
        <v>44</v>
      </c>
      <c r="M63" s="20" t="s">
        <v>44</v>
      </c>
      <c r="N63" s="20" t="s">
        <v>44</v>
      </c>
      <c r="O63" s="47" t="s">
        <v>44</v>
      </c>
      <c r="P63" s="12" t="s">
        <v>44</v>
      </c>
      <c r="Q63" s="12" t="s">
        <v>44</v>
      </c>
      <c r="R63" s="12" t="s">
        <v>44</v>
      </c>
      <c r="S63" s="47" t="s">
        <v>44</v>
      </c>
      <c r="T63" s="20" t="s">
        <v>44</v>
      </c>
      <c r="U63" s="20" t="s">
        <v>44</v>
      </c>
      <c r="V63" s="20" t="s">
        <v>44</v>
      </c>
      <c r="W63" s="47" t="s">
        <v>44</v>
      </c>
      <c r="X63" s="12" t="s">
        <v>44</v>
      </c>
      <c r="Y63" s="12" t="s">
        <v>44</v>
      </c>
      <c r="Z63" s="12" t="s">
        <v>44</v>
      </c>
      <c r="AA63" s="47" t="s">
        <v>44</v>
      </c>
      <c r="AB63" s="24">
        <v>2</v>
      </c>
    </row>
    <row r="64" spans="1:28" ht="20" customHeight="1" x14ac:dyDescent="0.2">
      <c r="A64" s="55" t="s">
        <v>21</v>
      </c>
      <c r="B64" s="53" t="str">
        <f>'CLASSIFICA ORDINATA'!B63</f>
        <v>Costanzo-Mirko90</v>
      </c>
      <c r="C64" s="53" t="str">
        <f>VLOOKUP(B64,nomi!B:C,2,FALSE)</f>
        <v>GTRC M. Costanzo</v>
      </c>
      <c r="D64" s="20" t="s">
        <v>44</v>
      </c>
      <c r="E64" s="20" t="s">
        <v>44</v>
      </c>
      <c r="F64" s="20" t="s">
        <v>44</v>
      </c>
      <c r="G64" s="47" t="s">
        <v>44</v>
      </c>
      <c r="H64" s="20" t="s">
        <v>44</v>
      </c>
      <c r="I64" s="20" t="s">
        <v>44</v>
      </c>
      <c r="J64" s="20" t="s">
        <v>44</v>
      </c>
      <c r="K64" s="47" t="s">
        <v>44</v>
      </c>
      <c r="L64" s="20" t="s">
        <v>44</v>
      </c>
      <c r="M64" s="20" t="s">
        <v>44</v>
      </c>
      <c r="N64" s="20" t="s">
        <v>44</v>
      </c>
      <c r="O64" s="47" t="s">
        <v>44</v>
      </c>
      <c r="P64" s="12" t="s">
        <v>44</v>
      </c>
      <c r="Q64" s="12" t="s">
        <v>44</v>
      </c>
      <c r="R64" s="12" t="s">
        <v>44</v>
      </c>
      <c r="S64" s="47" t="s">
        <v>44</v>
      </c>
      <c r="T64" s="20" t="s">
        <v>44</v>
      </c>
      <c r="U64" s="20" t="s">
        <v>44</v>
      </c>
      <c r="V64" s="20" t="s">
        <v>44</v>
      </c>
      <c r="W64" s="47" t="s">
        <v>44</v>
      </c>
      <c r="X64" s="12" t="s">
        <v>44</v>
      </c>
      <c r="Y64" s="12" t="s">
        <v>44</v>
      </c>
      <c r="Z64" s="12" t="s">
        <v>44</v>
      </c>
      <c r="AA64" s="47" t="s">
        <v>44</v>
      </c>
      <c r="AB64" s="24" t="s">
        <v>44</v>
      </c>
    </row>
    <row r="65" spans="1:28" ht="20" customHeight="1" x14ac:dyDescent="0.2">
      <c r="A65" s="45"/>
      <c r="B65" s="46"/>
      <c r="C65" s="46"/>
    </row>
    <row r="66" spans="1:28" ht="20" customHeight="1" x14ac:dyDescent="0.2">
      <c r="A66" s="45"/>
      <c r="B66" s="46"/>
      <c r="C66" s="46"/>
    </row>
    <row r="67" spans="1:28" ht="20" customHeight="1" x14ac:dyDescent="0.2">
      <c r="A67" s="89" t="s">
        <v>42</v>
      </c>
      <c r="B67" s="106"/>
      <c r="C67" s="90"/>
      <c r="D67" s="93" t="s">
        <v>47</v>
      </c>
      <c r="E67" s="94"/>
      <c r="F67" s="94"/>
      <c r="G67" s="95"/>
      <c r="H67" s="93" t="s">
        <v>40</v>
      </c>
      <c r="I67" s="94"/>
      <c r="J67" s="94"/>
      <c r="K67" s="95"/>
      <c r="L67" s="93" t="s">
        <v>48</v>
      </c>
      <c r="M67" s="94"/>
      <c r="N67" s="94"/>
      <c r="O67" s="95"/>
      <c r="P67" s="93" t="s">
        <v>39</v>
      </c>
      <c r="Q67" s="94"/>
      <c r="R67" s="94"/>
      <c r="S67" s="95"/>
      <c r="T67" s="93" t="s">
        <v>41</v>
      </c>
      <c r="U67" s="94"/>
      <c r="V67" s="94"/>
      <c r="W67" s="95"/>
      <c r="X67" s="93" t="s">
        <v>49</v>
      </c>
      <c r="Y67" s="94"/>
      <c r="Z67" s="94"/>
      <c r="AA67" s="95"/>
      <c r="AB67" s="104" t="s">
        <v>34</v>
      </c>
    </row>
    <row r="68" spans="1:28" ht="27" x14ac:dyDescent="0.2">
      <c r="A68" s="71" t="s">
        <v>19</v>
      </c>
      <c r="B68" s="71" t="s">
        <v>14</v>
      </c>
      <c r="C68" s="71" t="s">
        <v>385</v>
      </c>
      <c r="D68" s="21" t="s">
        <v>17</v>
      </c>
      <c r="E68" s="22" t="s">
        <v>1</v>
      </c>
      <c r="F68" s="23" t="s">
        <v>18</v>
      </c>
      <c r="G68" s="50" t="s">
        <v>35</v>
      </c>
      <c r="H68" s="21" t="s">
        <v>17</v>
      </c>
      <c r="I68" s="22" t="s">
        <v>1</v>
      </c>
      <c r="J68" s="23" t="s">
        <v>18</v>
      </c>
      <c r="K68" s="50" t="s">
        <v>35</v>
      </c>
      <c r="L68" s="21" t="s">
        <v>17</v>
      </c>
      <c r="M68" s="22" t="s">
        <v>1</v>
      </c>
      <c r="N68" s="23" t="s">
        <v>18</v>
      </c>
      <c r="O68" s="50" t="s">
        <v>35</v>
      </c>
      <c r="P68" s="21" t="s">
        <v>17</v>
      </c>
      <c r="Q68" s="22" t="s">
        <v>1</v>
      </c>
      <c r="R68" s="23" t="s">
        <v>18</v>
      </c>
      <c r="S68" s="50" t="s">
        <v>35</v>
      </c>
      <c r="T68" s="21" t="s">
        <v>17</v>
      </c>
      <c r="U68" s="22" t="s">
        <v>1</v>
      </c>
      <c r="V68" s="23" t="s">
        <v>18</v>
      </c>
      <c r="W68" s="50" t="s">
        <v>35</v>
      </c>
      <c r="X68" s="21" t="s">
        <v>17</v>
      </c>
      <c r="Y68" s="22" t="s">
        <v>1</v>
      </c>
      <c r="Z68" s="23" t="s">
        <v>18</v>
      </c>
      <c r="AA68" s="50" t="s">
        <v>35</v>
      </c>
      <c r="AB68" s="105"/>
    </row>
    <row r="69" spans="1:28" ht="20" customHeight="1" x14ac:dyDescent="0.25">
      <c r="A69" s="28">
        <v>1</v>
      </c>
      <c r="B69" s="29" t="str">
        <f>'CLASSIFICA ORDINATA'!B68</f>
        <v>RMT-87-TOMMY</v>
      </c>
      <c r="C69" s="53" t="s">
        <v>62</v>
      </c>
      <c r="D69" s="12">
        <v>1</v>
      </c>
      <c r="E69" s="12">
        <v>25</v>
      </c>
      <c r="F69" s="12">
        <v>1</v>
      </c>
      <c r="G69" s="47">
        <v>27</v>
      </c>
      <c r="H69" s="12" t="s">
        <v>44</v>
      </c>
      <c r="I69" s="12" t="s">
        <v>44</v>
      </c>
      <c r="J69" s="12" t="s">
        <v>44</v>
      </c>
      <c r="K69" s="47" t="s">
        <v>44</v>
      </c>
      <c r="L69" s="12" t="s">
        <v>44</v>
      </c>
      <c r="M69" s="12" t="s">
        <v>44</v>
      </c>
      <c r="N69" s="12" t="s">
        <v>44</v>
      </c>
      <c r="O69" s="47" t="s">
        <v>44</v>
      </c>
      <c r="P69" s="12" t="s">
        <v>44</v>
      </c>
      <c r="Q69" s="12" t="s">
        <v>44</v>
      </c>
      <c r="R69" s="12" t="s">
        <v>44</v>
      </c>
      <c r="S69" s="47" t="s">
        <v>44</v>
      </c>
      <c r="T69" s="12" t="s">
        <v>44</v>
      </c>
      <c r="U69" s="12" t="s">
        <v>44</v>
      </c>
      <c r="V69" s="12" t="s">
        <v>44</v>
      </c>
      <c r="W69" s="47" t="s">
        <v>44</v>
      </c>
      <c r="X69" s="12" t="s">
        <v>44</v>
      </c>
      <c r="Y69" s="12" t="s">
        <v>44</v>
      </c>
      <c r="Z69" s="12" t="s">
        <v>44</v>
      </c>
      <c r="AA69" s="47" t="s">
        <v>44</v>
      </c>
      <c r="AB69" s="24">
        <v>27</v>
      </c>
    </row>
    <row r="70" spans="1:28" ht="20" customHeight="1" x14ac:dyDescent="0.25">
      <c r="A70" s="28">
        <v>2</v>
      </c>
      <c r="B70" s="29" t="str">
        <f>'CLASSIFICA ORDINATA'!B69</f>
        <v>Flavio-VR46</v>
      </c>
      <c r="C70" s="53" t="s">
        <v>262</v>
      </c>
      <c r="D70" s="12">
        <v>1</v>
      </c>
      <c r="E70" s="12">
        <v>25</v>
      </c>
      <c r="F70" s="12">
        <v>1</v>
      </c>
      <c r="G70" s="47">
        <v>27</v>
      </c>
      <c r="H70" s="12" t="s">
        <v>44</v>
      </c>
      <c r="I70" s="12" t="s">
        <v>44</v>
      </c>
      <c r="J70" s="12" t="s">
        <v>44</v>
      </c>
      <c r="K70" s="47" t="s">
        <v>44</v>
      </c>
      <c r="L70" s="12" t="s">
        <v>44</v>
      </c>
      <c r="M70" s="12" t="s">
        <v>44</v>
      </c>
      <c r="N70" s="12" t="s">
        <v>44</v>
      </c>
      <c r="O70" s="47" t="s">
        <v>44</v>
      </c>
      <c r="P70" s="12" t="s">
        <v>44</v>
      </c>
      <c r="Q70" s="12" t="s">
        <v>44</v>
      </c>
      <c r="R70" s="12" t="s">
        <v>44</v>
      </c>
      <c r="S70" s="47" t="s">
        <v>44</v>
      </c>
      <c r="T70" s="12" t="s">
        <v>44</v>
      </c>
      <c r="U70" s="12" t="s">
        <v>44</v>
      </c>
      <c r="V70" s="12" t="s">
        <v>44</v>
      </c>
      <c r="W70" s="47" t="s">
        <v>44</v>
      </c>
      <c r="X70" s="12" t="s">
        <v>44</v>
      </c>
      <c r="Y70" s="12" t="s">
        <v>44</v>
      </c>
      <c r="Z70" s="12" t="s">
        <v>44</v>
      </c>
      <c r="AA70" s="47" t="s">
        <v>44</v>
      </c>
      <c r="AB70" s="24">
        <v>27</v>
      </c>
    </row>
    <row r="71" spans="1:28" ht="20" customHeight="1" x14ac:dyDescent="0.25">
      <c r="A71" s="28">
        <v>3</v>
      </c>
      <c r="B71" s="29" t="str">
        <f>'CLASSIFICA ORDINATA'!B70</f>
        <v>BAD_Brucem84</v>
      </c>
      <c r="C71" s="53" t="s">
        <v>387</v>
      </c>
      <c r="D71" s="12">
        <v>1</v>
      </c>
      <c r="E71" s="12">
        <v>25</v>
      </c>
      <c r="F71" s="12" t="s">
        <v>44</v>
      </c>
      <c r="G71" s="47">
        <v>26</v>
      </c>
      <c r="H71" s="12" t="s">
        <v>44</v>
      </c>
      <c r="I71" s="12" t="s">
        <v>44</v>
      </c>
      <c r="J71" s="12" t="s">
        <v>44</v>
      </c>
      <c r="K71" s="47" t="s">
        <v>44</v>
      </c>
      <c r="L71" s="12" t="s">
        <v>44</v>
      </c>
      <c r="M71" s="12" t="s">
        <v>44</v>
      </c>
      <c r="N71" s="12" t="s">
        <v>44</v>
      </c>
      <c r="O71" s="47" t="s">
        <v>44</v>
      </c>
      <c r="P71" s="12" t="s">
        <v>44</v>
      </c>
      <c r="Q71" s="12" t="s">
        <v>44</v>
      </c>
      <c r="R71" s="12" t="s">
        <v>44</v>
      </c>
      <c r="S71" s="47" t="s">
        <v>44</v>
      </c>
      <c r="T71" s="12" t="s">
        <v>44</v>
      </c>
      <c r="U71" s="12" t="s">
        <v>44</v>
      </c>
      <c r="V71" s="12" t="s">
        <v>44</v>
      </c>
      <c r="W71" s="47" t="s">
        <v>44</v>
      </c>
      <c r="X71" s="12" t="s">
        <v>44</v>
      </c>
      <c r="Y71" s="12" t="s">
        <v>44</v>
      </c>
      <c r="Z71" s="12" t="s">
        <v>44</v>
      </c>
      <c r="AA71" s="47" t="s">
        <v>44</v>
      </c>
      <c r="AB71" s="24">
        <v>26</v>
      </c>
    </row>
    <row r="72" spans="1:28" ht="20" customHeight="1" x14ac:dyDescent="0.25">
      <c r="A72" s="28">
        <v>4</v>
      </c>
      <c r="B72" s="29" t="str">
        <f>'CLASSIFICA ORDINATA'!B71</f>
        <v>RMT _SILVERMAN-AC</v>
      </c>
      <c r="C72" s="53" t="s">
        <v>392</v>
      </c>
      <c r="D72" s="12" t="s">
        <v>44</v>
      </c>
      <c r="E72" s="12">
        <v>25</v>
      </c>
      <c r="F72" s="12" t="s">
        <v>44</v>
      </c>
      <c r="G72" s="47">
        <v>25</v>
      </c>
      <c r="H72" s="12" t="s">
        <v>44</v>
      </c>
      <c r="I72" s="12" t="s">
        <v>44</v>
      </c>
      <c r="J72" s="12" t="s">
        <v>44</v>
      </c>
      <c r="K72" s="47" t="s">
        <v>44</v>
      </c>
      <c r="L72" s="12" t="s">
        <v>44</v>
      </c>
      <c r="M72" s="12" t="s">
        <v>44</v>
      </c>
      <c r="N72" s="12" t="s">
        <v>44</v>
      </c>
      <c r="O72" s="47" t="s">
        <v>44</v>
      </c>
      <c r="P72" s="49" t="s">
        <v>44</v>
      </c>
      <c r="Q72" s="20" t="s">
        <v>44</v>
      </c>
      <c r="R72" s="20" t="s">
        <v>44</v>
      </c>
      <c r="S72" s="47" t="s">
        <v>44</v>
      </c>
      <c r="T72" s="12" t="s">
        <v>44</v>
      </c>
      <c r="U72" s="12" t="s">
        <v>44</v>
      </c>
      <c r="V72" s="12" t="s">
        <v>44</v>
      </c>
      <c r="W72" s="47" t="s">
        <v>44</v>
      </c>
      <c r="X72" s="12" t="s">
        <v>44</v>
      </c>
      <c r="Y72" s="12" t="s">
        <v>44</v>
      </c>
      <c r="Z72" s="12" t="s">
        <v>44</v>
      </c>
      <c r="AA72" s="47" t="s">
        <v>44</v>
      </c>
      <c r="AB72" s="24">
        <v>25</v>
      </c>
    </row>
    <row r="73" spans="1:28" ht="20" customHeight="1" x14ac:dyDescent="0.25">
      <c r="A73" s="28">
        <v>5</v>
      </c>
      <c r="B73" s="29" t="str">
        <f>'CLASSIFICA ORDINATA'!B72</f>
        <v>DRT-Mirkobenny85</v>
      </c>
      <c r="C73" s="53" t="s">
        <v>393</v>
      </c>
      <c r="D73" s="12">
        <v>1</v>
      </c>
      <c r="E73" s="12">
        <v>20</v>
      </c>
      <c r="F73" s="12" t="s">
        <v>44</v>
      </c>
      <c r="G73" s="47">
        <v>21</v>
      </c>
      <c r="H73" s="12" t="s">
        <v>44</v>
      </c>
      <c r="I73" s="12" t="s">
        <v>44</v>
      </c>
      <c r="J73" s="12" t="s">
        <v>44</v>
      </c>
      <c r="K73" s="47" t="s">
        <v>44</v>
      </c>
      <c r="L73" s="12" t="s">
        <v>44</v>
      </c>
      <c r="M73" s="12" t="s">
        <v>44</v>
      </c>
      <c r="N73" s="12" t="s">
        <v>44</v>
      </c>
      <c r="O73" s="47" t="s">
        <v>44</v>
      </c>
      <c r="P73" s="12" t="s">
        <v>44</v>
      </c>
      <c r="Q73" s="12" t="s">
        <v>44</v>
      </c>
      <c r="R73" s="12" t="s">
        <v>44</v>
      </c>
      <c r="S73" s="47" t="s">
        <v>44</v>
      </c>
      <c r="T73" s="12" t="s">
        <v>44</v>
      </c>
      <c r="U73" s="12" t="s">
        <v>44</v>
      </c>
      <c r="V73" s="12" t="s">
        <v>44</v>
      </c>
      <c r="W73" s="47" t="s">
        <v>44</v>
      </c>
      <c r="X73" s="12" t="s">
        <v>44</v>
      </c>
      <c r="Y73" s="12" t="s">
        <v>44</v>
      </c>
      <c r="Z73" s="12" t="s">
        <v>44</v>
      </c>
      <c r="AA73" s="47" t="s">
        <v>44</v>
      </c>
      <c r="AB73" s="24">
        <v>21</v>
      </c>
    </row>
    <row r="74" spans="1:28" ht="20" customHeight="1" x14ac:dyDescent="0.25">
      <c r="A74" s="28">
        <v>6</v>
      </c>
      <c r="B74" s="29" t="str">
        <f>'CLASSIFICA ORDINATA'!B73</f>
        <v>Pointshark</v>
      </c>
      <c r="C74" s="53" t="s">
        <v>32</v>
      </c>
      <c r="D74" s="12" t="s">
        <v>44</v>
      </c>
      <c r="E74" s="12">
        <v>20</v>
      </c>
      <c r="F74" s="12" t="s">
        <v>44</v>
      </c>
      <c r="G74" s="47">
        <v>20</v>
      </c>
      <c r="H74" s="12" t="s">
        <v>44</v>
      </c>
      <c r="I74" s="12" t="s">
        <v>44</v>
      </c>
      <c r="J74" s="12" t="s">
        <v>44</v>
      </c>
      <c r="K74" s="47" t="s">
        <v>44</v>
      </c>
      <c r="L74" s="20" t="s">
        <v>44</v>
      </c>
      <c r="M74" s="20" t="s">
        <v>44</v>
      </c>
      <c r="N74" s="20" t="s">
        <v>44</v>
      </c>
      <c r="O74" s="47" t="s">
        <v>44</v>
      </c>
      <c r="P74" s="12" t="s">
        <v>44</v>
      </c>
      <c r="Q74" s="12" t="s">
        <v>44</v>
      </c>
      <c r="R74" s="12" t="s">
        <v>44</v>
      </c>
      <c r="S74" s="47" t="s">
        <v>44</v>
      </c>
      <c r="T74" s="12" t="s">
        <v>44</v>
      </c>
      <c r="U74" s="12" t="s">
        <v>44</v>
      </c>
      <c r="V74" s="12" t="s">
        <v>44</v>
      </c>
      <c r="W74" s="47" t="s">
        <v>44</v>
      </c>
      <c r="X74" s="12" t="s">
        <v>44</v>
      </c>
      <c r="Y74" s="12" t="s">
        <v>44</v>
      </c>
      <c r="Z74" s="12" t="s">
        <v>44</v>
      </c>
      <c r="AA74" s="47" t="s">
        <v>44</v>
      </c>
      <c r="AB74" s="24">
        <v>20</v>
      </c>
    </row>
    <row r="75" spans="1:28" ht="20" customHeight="1" x14ac:dyDescent="0.25">
      <c r="A75" s="28">
        <v>7</v>
      </c>
      <c r="B75" s="29" t="str">
        <f>'CLASSIFICA ORDINATA'!B74</f>
        <v>Bobgre93</v>
      </c>
      <c r="C75" s="53" t="s">
        <v>231</v>
      </c>
      <c r="D75" s="12" t="s">
        <v>44</v>
      </c>
      <c r="E75" s="12">
        <v>20</v>
      </c>
      <c r="F75" s="12" t="s">
        <v>44</v>
      </c>
      <c r="G75" s="47">
        <v>20</v>
      </c>
      <c r="H75" s="12" t="s">
        <v>44</v>
      </c>
      <c r="I75" s="12" t="s">
        <v>44</v>
      </c>
      <c r="J75" s="12" t="s">
        <v>44</v>
      </c>
      <c r="K75" s="47" t="s">
        <v>44</v>
      </c>
      <c r="L75" s="12" t="s">
        <v>44</v>
      </c>
      <c r="M75" s="12" t="s">
        <v>44</v>
      </c>
      <c r="N75" s="12" t="s">
        <v>44</v>
      </c>
      <c r="O75" s="47" t="s">
        <v>44</v>
      </c>
      <c r="P75" s="12" t="s">
        <v>44</v>
      </c>
      <c r="Q75" s="12" t="s">
        <v>44</v>
      </c>
      <c r="R75" s="12" t="s">
        <v>44</v>
      </c>
      <c r="S75" s="47" t="s">
        <v>44</v>
      </c>
      <c r="T75" s="12" t="s">
        <v>44</v>
      </c>
      <c r="U75" s="12" t="s">
        <v>44</v>
      </c>
      <c r="V75" s="12" t="s">
        <v>44</v>
      </c>
      <c r="W75" s="47" t="s">
        <v>44</v>
      </c>
      <c r="X75" s="12" t="s">
        <v>44</v>
      </c>
      <c r="Y75" s="12" t="s">
        <v>44</v>
      </c>
      <c r="Z75" s="12" t="s">
        <v>44</v>
      </c>
      <c r="AA75" s="47" t="s">
        <v>44</v>
      </c>
      <c r="AB75" s="24">
        <v>20</v>
      </c>
    </row>
    <row r="76" spans="1:28" ht="20" customHeight="1" x14ac:dyDescent="0.25">
      <c r="A76" s="28">
        <v>8</v>
      </c>
      <c r="B76" s="29" t="str">
        <f>'CLASSIFICA ORDINATA'!B75</f>
        <v>TLM_SKIZZO 34</v>
      </c>
      <c r="C76" s="53" t="s">
        <v>104</v>
      </c>
      <c r="D76" s="43" t="s">
        <v>44</v>
      </c>
      <c r="E76" s="43">
        <v>20</v>
      </c>
      <c r="F76" s="43" t="s">
        <v>44</v>
      </c>
      <c r="G76" s="48">
        <v>20</v>
      </c>
      <c r="H76" s="43" t="s">
        <v>44</v>
      </c>
      <c r="I76" s="43" t="s">
        <v>44</v>
      </c>
      <c r="J76" s="43" t="s">
        <v>44</v>
      </c>
      <c r="K76" s="48" t="s">
        <v>44</v>
      </c>
      <c r="L76" s="43" t="s">
        <v>44</v>
      </c>
      <c r="M76" s="43" t="s">
        <v>44</v>
      </c>
      <c r="N76" s="43" t="s">
        <v>44</v>
      </c>
      <c r="O76" s="48" t="s">
        <v>44</v>
      </c>
      <c r="P76" s="35" t="s">
        <v>44</v>
      </c>
      <c r="Q76" s="35" t="s">
        <v>44</v>
      </c>
      <c r="R76" s="35" t="s">
        <v>44</v>
      </c>
      <c r="S76" s="48" t="s">
        <v>44</v>
      </c>
      <c r="T76" s="43" t="s">
        <v>44</v>
      </c>
      <c r="U76" s="43" t="s">
        <v>44</v>
      </c>
      <c r="V76" s="43" t="s">
        <v>44</v>
      </c>
      <c r="W76" s="48" t="s">
        <v>44</v>
      </c>
      <c r="X76" s="43" t="s">
        <v>44</v>
      </c>
      <c r="Y76" s="43" t="s">
        <v>44</v>
      </c>
      <c r="Z76" s="43" t="s">
        <v>44</v>
      </c>
      <c r="AA76" s="48" t="s">
        <v>44</v>
      </c>
      <c r="AB76" s="36">
        <v>20</v>
      </c>
    </row>
    <row r="77" spans="1:28" ht="20" customHeight="1" x14ac:dyDescent="0.25">
      <c r="A77" s="28">
        <v>9</v>
      </c>
      <c r="B77" s="29" t="str">
        <f>'CLASSIFICA ORDINATA'!B76</f>
        <v>Buitre83GT</v>
      </c>
      <c r="C77" s="53" t="s">
        <v>329</v>
      </c>
      <c r="D77" s="20" t="s">
        <v>44</v>
      </c>
      <c r="E77" s="20">
        <v>18</v>
      </c>
      <c r="F77" s="20">
        <v>1</v>
      </c>
      <c r="G77" s="47">
        <v>19</v>
      </c>
      <c r="H77" s="12" t="s">
        <v>44</v>
      </c>
      <c r="I77" s="12" t="s">
        <v>44</v>
      </c>
      <c r="J77" s="12" t="s">
        <v>44</v>
      </c>
      <c r="K77" s="47" t="s">
        <v>44</v>
      </c>
      <c r="L77" s="12" t="s">
        <v>44</v>
      </c>
      <c r="M77" s="12" t="s">
        <v>44</v>
      </c>
      <c r="N77" s="12" t="s">
        <v>44</v>
      </c>
      <c r="O77" s="47" t="s">
        <v>44</v>
      </c>
      <c r="P77" s="12" t="s">
        <v>44</v>
      </c>
      <c r="Q77" s="12" t="s">
        <v>44</v>
      </c>
      <c r="R77" s="12" t="s">
        <v>44</v>
      </c>
      <c r="S77" s="47" t="s">
        <v>44</v>
      </c>
      <c r="T77" s="12" t="s">
        <v>44</v>
      </c>
      <c r="U77" s="12" t="s">
        <v>44</v>
      </c>
      <c r="V77" s="12" t="s">
        <v>44</v>
      </c>
      <c r="W77" s="47" t="s">
        <v>44</v>
      </c>
      <c r="X77" s="12" t="s">
        <v>44</v>
      </c>
      <c r="Y77" s="12" t="s">
        <v>44</v>
      </c>
      <c r="Z77" s="12" t="s">
        <v>44</v>
      </c>
      <c r="AA77" s="47" t="s">
        <v>44</v>
      </c>
      <c r="AB77" s="24">
        <v>19</v>
      </c>
    </row>
    <row r="78" spans="1:28" ht="20" customHeight="1" x14ac:dyDescent="0.25">
      <c r="A78" s="28">
        <v>10</v>
      </c>
      <c r="B78" s="29" t="str">
        <f>'CLASSIFICA ORDINATA'!B77</f>
        <v>Marco-super-gt</v>
      </c>
      <c r="C78" s="53" t="s">
        <v>367</v>
      </c>
      <c r="D78" s="12" t="s">
        <v>44</v>
      </c>
      <c r="E78" s="12">
        <v>18</v>
      </c>
      <c r="F78" s="12" t="s">
        <v>44</v>
      </c>
      <c r="G78" s="47">
        <v>18</v>
      </c>
      <c r="H78" s="12" t="s">
        <v>44</v>
      </c>
      <c r="I78" s="12" t="s">
        <v>44</v>
      </c>
      <c r="J78" s="12" t="s">
        <v>44</v>
      </c>
      <c r="K78" s="47" t="s">
        <v>44</v>
      </c>
      <c r="L78" s="20" t="s">
        <v>44</v>
      </c>
      <c r="M78" s="20" t="s">
        <v>44</v>
      </c>
      <c r="N78" s="20" t="s">
        <v>44</v>
      </c>
      <c r="O78" s="47" t="s">
        <v>44</v>
      </c>
      <c r="P78" s="12" t="s">
        <v>44</v>
      </c>
      <c r="Q78" s="12" t="s">
        <v>44</v>
      </c>
      <c r="R78" s="12" t="s">
        <v>44</v>
      </c>
      <c r="S78" s="47" t="s">
        <v>44</v>
      </c>
      <c r="T78" s="20" t="s">
        <v>44</v>
      </c>
      <c r="U78" s="20" t="s">
        <v>44</v>
      </c>
      <c r="V78" s="20" t="s">
        <v>44</v>
      </c>
      <c r="W78" s="47" t="s">
        <v>44</v>
      </c>
      <c r="X78" s="12" t="s">
        <v>44</v>
      </c>
      <c r="Y78" s="12" t="s">
        <v>44</v>
      </c>
      <c r="Z78" s="12" t="s">
        <v>44</v>
      </c>
      <c r="AA78" s="47" t="s">
        <v>44</v>
      </c>
      <c r="AB78" s="24">
        <v>18</v>
      </c>
    </row>
    <row r="79" spans="1:28" ht="20" customHeight="1" x14ac:dyDescent="0.25">
      <c r="A79" s="28">
        <v>11</v>
      </c>
      <c r="B79" s="29" t="str">
        <f>'CLASSIFICA ORDINATA'!B78</f>
        <v>Parenji</v>
      </c>
      <c r="C79" s="53" t="s">
        <v>240</v>
      </c>
      <c r="D79" s="49" t="s">
        <v>44</v>
      </c>
      <c r="E79" s="20">
        <v>18</v>
      </c>
      <c r="F79" s="20" t="s">
        <v>44</v>
      </c>
      <c r="G79" s="47">
        <v>18</v>
      </c>
      <c r="H79" s="12" t="s">
        <v>44</v>
      </c>
      <c r="I79" s="12" t="s">
        <v>44</v>
      </c>
      <c r="J79" s="12" t="s">
        <v>44</v>
      </c>
      <c r="K79" s="47" t="s">
        <v>44</v>
      </c>
      <c r="L79" s="12" t="s">
        <v>44</v>
      </c>
      <c r="M79" s="12" t="s">
        <v>44</v>
      </c>
      <c r="N79" s="12" t="s">
        <v>44</v>
      </c>
      <c r="O79" s="47" t="s">
        <v>44</v>
      </c>
      <c r="P79" s="20" t="s">
        <v>44</v>
      </c>
      <c r="Q79" s="20" t="s">
        <v>44</v>
      </c>
      <c r="R79" s="20" t="s">
        <v>44</v>
      </c>
      <c r="S79" s="47" t="s">
        <v>44</v>
      </c>
      <c r="T79" s="20" t="s">
        <v>44</v>
      </c>
      <c r="U79" s="20" t="s">
        <v>44</v>
      </c>
      <c r="V79" s="20" t="s">
        <v>44</v>
      </c>
      <c r="W79" s="47" t="s">
        <v>44</v>
      </c>
      <c r="X79" s="20" t="s">
        <v>44</v>
      </c>
      <c r="Y79" s="20" t="s">
        <v>44</v>
      </c>
      <c r="Z79" s="20" t="s">
        <v>44</v>
      </c>
      <c r="AA79" s="47" t="s">
        <v>44</v>
      </c>
      <c r="AB79" s="24">
        <v>18</v>
      </c>
    </row>
    <row r="80" spans="1:28" ht="20" customHeight="1" x14ac:dyDescent="0.25">
      <c r="A80" s="28">
        <v>12</v>
      </c>
      <c r="B80" s="29" t="str">
        <f>'CLASSIFICA ORDINATA'!B79</f>
        <v>TLM_Kappa</v>
      </c>
      <c r="C80" s="53" t="s">
        <v>82</v>
      </c>
      <c r="D80" s="20" t="s">
        <v>44</v>
      </c>
      <c r="E80" s="20">
        <v>18</v>
      </c>
      <c r="F80" s="20" t="s">
        <v>44</v>
      </c>
      <c r="G80" s="47">
        <v>18</v>
      </c>
      <c r="H80" s="12" t="s">
        <v>44</v>
      </c>
      <c r="I80" s="12" t="s">
        <v>44</v>
      </c>
      <c r="J80" s="12" t="s">
        <v>44</v>
      </c>
      <c r="K80" s="47" t="s">
        <v>44</v>
      </c>
      <c r="L80" s="20" t="s">
        <v>44</v>
      </c>
      <c r="M80" s="20" t="s">
        <v>44</v>
      </c>
      <c r="N80" s="20" t="s">
        <v>44</v>
      </c>
      <c r="O80" s="47" t="s">
        <v>44</v>
      </c>
      <c r="P80" s="20" t="s">
        <v>44</v>
      </c>
      <c r="Q80" s="20" t="s">
        <v>44</v>
      </c>
      <c r="R80" s="20" t="s">
        <v>44</v>
      </c>
      <c r="S80" s="47" t="s">
        <v>44</v>
      </c>
      <c r="T80" s="20" t="s">
        <v>44</v>
      </c>
      <c r="U80" s="20" t="s">
        <v>44</v>
      </c>
      <c r="V80" s="20" t="s">
        <v>44</v>
      </c>
      <c r="W80" s="47" t="s">
        <v>44</v>
      </c>
      <c r="X80" s="12" t="s">
        <v>44</v>
      </c>
      <c r="Y80" s="12" t="s">
        <v>44</v>
      </c>
      <c r="Z80" s="12" t="s">
        <v>44</v>
      </c>
      <c r="AA80" s="47" t="s">
        <v>44</v>
      </c>
      <c r="AB80" s="24">
        <v>18</v>
      </c>
    </row>
    <row r="81" spans="1:28" ht="20" customHeight="1" x14ac:dyDescent="0.25">
      <c r="A81" s="28">
        <v>13</v>
      </c>
      <c r="B81" s="29" t="str">
        <f>'CLASSIFICA ORDINATA'!B80</f>
        <v>CORNAZZAI73</v>
      </c>
      <c r="C81" s="53" t="s">
        <v>116</v>
      </c>
      <c r="D81" s="20" t="s">
        <v>44</v>
      </c>
      <c r="E81" s="20">
        <v>16</v>
      </c>
      <c r="F81" s="20" t="s">
        <v>44</v>
      </c>
      <c r="G81" s="47">
        <v>16</v>
      </c>
      <c r="H81" s="20" t="s">
        <v>44</v>
      </c>
      <c r="I81" s="20" t="s">
        <v>44</v>
      </c>
      <c r="J81" s="20" t="s">
        <v>44</v>
      </c>
      <c r="K81" s="47" t="s">
        <v>44</v>
      </c>
      <c r="L81" s="20" t="s">
        <v>44</v>
      </c>
      <c r="M81" s="20" t="s">
        <v>44</v>
      </c>
      <c r="N81" s="20" t="s">
        <v>44</v>
      </c>
      <c r="O81" s="47" t="s">
        <v>44</v>
      </c>
      <c r="P81" s="12" t="s">
        <v>44</v>
      </c>
      <c r="Q81" s="12" t="s">
        <v>44</v>
      </c>
      <c r="R81" s="12" t="s">
        <v>44</v>
      </c>
      <c r="S81" s="47" t="s">
        <v>44</v>
      </c>
      <c r="T81" s="20" t="s">
        <v>44</v>
      </c>
      <c r="U81" s="20" t="s">
        <v>44</v>
      </c>
      <c r="V81" s="20" t="s">
        <v>44</v>
      </c>
      <c r="W81" s="47" t="s">
        <v>44</v>
      </c>
      <c r="X81" s="12" t="s">
        <v>44</v>
      </c>
      <c r="Y81" s="12" t="s">
        <v>44</v>
      </c>
      <c r="Z81" s="12" t="s">
        <v>44</v>
      </c>
      <c r="AA81" s="47" t="s">
        <v>44</v>
      </c>
      <c r="AB81" s="24">
        <v>16</v>
      </c>
    </row>
    <row r="82" spans="1:28" ht="20" customHeight="1" x14ac:dyDescent="0.25">
      <c r="A82" s="28">
        <v>14</v>
      </c>
      <c r="B82" s="29" t="str">
        <f>'CLASSIFICA ORDINATA'!B81</f>
        <v>X-Gianni-</v>
      </c>
      <c r="C82" s="53" t="s">
        <v>374</v>
      </c>
      <c r="D82" s="20" t="s">
        <v>44</v>
      </c>
      <c r="E82" s="20">
        <v>16</v>
      </c>
      <c r="F82" s="20" t="s">
        <v>44</v>
      </c>
      <c r="G82" s="47">
        <v>16</v>
      </c>
      <c r="H82" s="20" t="s">
        <v>44</v>
      </c>
      <c r="I82" s="20" t="s">
        <v>44</v>
      </c>
      <c r="J82" s="20" t="s">
        <v>44</v>
      </c>
      <c r="K82" s="47" t="s">
        <v>44</v>
      </c>
      <c r="L82" s="20" t="s">
        <v>44</v>
      </c>
      <c r="M82" s="20" t="s">
        <v>44</v>
      </c>
      <c r="N82" s="20" t="s">
        <v>44</v>
      </c>
      <c r="O82" s="47" t="s">
        <v>44</v>
      </c>
      <c r="P82" s="12" t="s">
        <v>44</v>
      </c>
      <c r="Q82" s="12" t="s">
        <v>44</v>
      </c>
      <c r="R82" s="12" t="s">
        <v>44</v>
      </c>
      <c r="S82" s="47" t="s">
        <v>44</v>
      </c>
      <c r="T82" s="20" t="s">
        <v>44</v>
      </c>
      <c r="U82" s="20" t="s">
        <v>44</v>
      </c>
      <c r="V82" s="20" t="s">
        <v>44</v>
      </c>
      <c r="W82" s="47" t="s">
        <v>44</v>
      </c>
      <c r="X82" s="12" t="s">
        <v>44</v>
      </c>
      <c r="Y82" s="12" t="s">
        <v>44</v>
      </c>
      <c r="Z82" s="12" t="s">
        <v>44</v>
      </c>
      <c r="AA82" s="47" t="s">
        <v>44</v>
      </c>
      <c r="AB82" s="24">
        <v>16</v>
      </c>
    </row>
    <row r="83" spans="1:28" ht="20" customHeight="1" x14ac:dyDescent="0.25">
      <c r="A83" s="28">
        <v>15</v>
      </c>
      <c r="B83" s="29" t="str">
        <f>'CLASSIFICA ORDINATA'!B82</f>
        <v>xRUA85x</v>
      </c>
      <c r="C83" s="53" t="s">
        <v>168</v>
      </c>
      <c r="D83" s="12" t="s">
        <v>44</v>
      </c>
      <c r="E83" s="12">
        <v>16</v>
      </c>
      <c r="F83" s="12" t="s">
        <v>44</v>
      </c>
      <c r="G83" s="47">
        <v>16</v>
      </c>
      <c r="H83" s="20" t="s">
        <v>44</v>
      </c>
      <c r="I83" s="20" t="s">
        <v>44</v>
      </c>
      <c r="J83" s="20" t="s">
        <v>44</v>
      </c>
      <c r="K83" s="47" t="s">
        <v>44</v>
      </c>
      <c r="L83" s="20" t="s">
        <v>44</v>
      </c>
      <c r="M83" s="20" t="s">
        <v>44</v>
      </c>
      <c r="N83" s="20" t="s">
        <v>44</v>
      </c>
      <c r="O83" s="47" t="s">
        <v>44</v>
      </c>
      <c r="P83" s="20" t="s">
        <v>44</v>
      </c>
      <c r="Q83" s="20" t="s">
        <v>44</v>
      </c>
      <c r="R83" s="20" t="s">
        <v>44</v>
      </c>
      <c r="S83" s="47" t="s">
        <v>44</v>
      </c>
      <c r="T83" s="20" t="s">
        <v>44</v>
      </c>
      <c r="U83" s="20" t="s">
        <v>44</v>
      </c>
      <c r="V83" s="20" t="s">
        <v>44</v>
      </c>
      <c r="W83" s="47" t="s">
        <v>44</v>
      </c>
      <c r="X83" s="12" t="s">
        <v>44</v>
      </c>
      <c r="Y83" s="12" t="s">
        <v>44</v>
      </c>
      <c r="Z83" s="12" t="s">
        <v>44</v>
      </c>
      <c r="AA83" s="47" t="s">
        <v>44</v>
      </c>
      <c r="AB83" s="24">
        <v>16</v>
      </c>
    </row>
    <row r="84" spans="1:28" ht="20" customHeight="1" x14ac:dyDescent="0.25">
      <c r="A84" s="28">
        <v>16</v>
      </c>
      <c r="B84" s="29" t="str">
        <f>'CLASSIFICA ORDINATA'!B83</f>
        <v>Mikedb__91__</v>
      </c>
      <c r="C84" s="53" t="s">
        <v>142</v>
      </c>
      <c r="D84" s="12" t="s">
        <v>44</v>
      </c>
      <c r="E84" s="12">
        <v>16</v>
      </c>
      <c r="F84" s="12" t="s">
        <v>44</v>
      </c>
      <c r="G84" s="47">
        <v>16</v>
      </c>
      <c r="H84" s="12" t="s">
        <v>44</v>
      </c>
      <c r="I84" s="12" t="s">
        <v>44</v>
      </c>
      <c r="J84" s="12" t="s">
        <v>44</v>
      </c>
      <c r="K84" s="47" t="s">
        <v>44</v>
      </c>
      <c r="L84" s="12" t="s">
        <v>44</v>
      </c>
      <c r="M84" s="12" t="s">
        <v>44</v>
      </c>
      <c r="N84" s="12" t="s">
        <v>44</v>
      </c>
      <c r="O84" s="47" t="s">
        <v>44</v>
      </c>
      <c r="P84" s="12" t="s">
        <v>44</v>
      </c>
      <c r="Q84" s="12" t="s">
        <v>44</v>
      </c>
      <c r="R84" s="12" t="s">
        <v>44</v>
      </c>
      <c r="S84" s="47" t="s">
        <v>44</v>
      </c>
      <c r="T84" s="12" t="s">
        <v>44</v>
      </c>
      <c r="U84" s="12" t="s">
        <v>44</v>
      </c>
      <c r="V84" s="12" t="s">
        <v>44</v>
      </c>
      <c r="W84" s="47" t="s">
        <v>44</v>
      </c>
      <c r="X84" s="12" t="s">
        <v>44</v>
      </c>
      <c r="Y84" s="12" t="s">
        <v>44</v>
      </c>
      <c r="Z84" s="12" t="s">
        <v>44</v>
      </c>
      <c r="AA84" s="47" t="s">
        <v>44</v>
      </c>
      <c r="AB84" s="24">
        <v>16</v>
      </c>
    </row>
    <row r="85" spans="1:28" ht="20" customHeight="1" x14ac:dyDescent="0.25">
      <c r="A85" s="28">
        <v>17</v>
      </c>
      <c r="B85" s="29" t="str">
        <f>'CLASSIFICA ORDINATA'!B84</f>
        <v>GTRC_Frenkmik93</v>
      </c>
      <c r="C85" s="53" t="s">
        <v>386</v>
      </c>
      <c r="D85" s="12" t="s">
        <v>44</v>
      </c>
      <c r="E85" s="12">
        <v>14</v>
      </c>
      <c r="F85" s="12" t="s">
        <v>44</v>
      </c>
      <c r="G85" s="47">
        <v>14</v>
      </c>
      <c r="H85" s="12" t="s">
        <v>44</v>
      </c>
      <c r="I85" s="12" t="s">
        <v>44</v>
      </c>
      <c r="J85" s="12" t="s">
        <v>44</v>
      </c>
      <c r="K85" s="47" t="s">
        <v>44</v>
      </c>
      <c r="L85" s="12" t="s">
        <v>44</v>
      </c>
      <c r="M85" s="12" t="s">
        <v>44</v>
      </c>
      <c r="N85" s="12" t="s">
        <v>44</v>
      </c>
      <c r="O85" s="47" t="s">
        <v>44</v>
      </c>
      <c r="P85" s="12" t="s">
        <v>44</v>
      </c>
      <c r="Q85" s="12" t="s">
        <v>44</v>
      </c>
      <c r="R85" s="12" t="s">
        <v>44</v>
      </c>
      <c r="S85" s="47" t="s">
        <v>44</v>
      </c>
      <c r="T85" s="12" t="s">
        <v>44</v>
      </c>
      <c r="U85" s="12" t="s">
        <v>44</v>
      </c>
      <c r="V85" s="12" t="s">
        <v>44</v>
      </c>
      <c r="W85" s="47" t="s">
        <v>44</v>
      </c>
      <c r="X85" s="12" t="s">
        <v>44</v>
      </c>
      <c r="Y85" s="12" t="s">
        <v>44</v>
      </c>
      <c r="Z85" s="12" t="s">
        <v>44</v>
      </c>
      <c r="AA85" s="47" t="s">
        <v>44</v>
      </c>
      <c r="AB85" s="24">
        <v>14</v>
      </c>
    </row>
    <row r="86" spans="1:28" ht="20" customHeight="1" x14ac:dyDescent="0.25">
      <c r="A86" s="28">
        <v>18</v>
      </c>
      <c r="B86" s="29" t="str">
        <f>'CLASSIFICA ORDINATA'!B85</f>
        <v>Rupetheking</v>
      </c>
      <c r="C86" s="53" t="s">
        <v>257</v>
      </c>
      <c r="D86" s="12" t="s">
        <v>44</v>
      </c>
      <c r="E86" s="12">
        <v>14</v>
      </c>
      <c r="F86" s="12" t="s">
        <v>44</v>
      </c>
      <c r="G86" s="47">
        <v>14</v>
      </c>
      <c r="H86" s="12" t="s">
        <v>44</v>
      </c>
      <c r="I86" s="12" t="s">
        <v>44</v>
      </c>
      <c r="J86" s="12" t="s">
        <v>44</v>
      </c>
      <c r="K86" s="47" t="s">
        <v>44</v>
      </c>
      <c r="L86" s="12" t="s">
        <v>44</v>
      </c>
      <c r="M86" s="12" t="s">
        <v>44</v>
      </c>
      <c r="N86" s="12" t="s">
        <v>44</v>
      </c>
      <c r="O86" s="47" t="s">
        <v>44</v>
      </c>
      <c r="P86" s="12" t="s">
        <v>44</v>
      </c>
      <c r="Q86" s="12" t="s">
        <v>44</v>
      </c>
      <c r="R86" s="12" t="s">
        <v>44</v>
      </c>
      <c r="S86" s="47" t="s">
        <v>44</v>
      </c>
      <c r="T86" s="12" t="s">
        <v>44</v>
      </c>
      <c r="U86" s="12" t="s">
        <v>44</v>
      </c>
      <c r="V86" s="12" t="s">
        <v>44</v>
      </c>
      <c r="W86" s="47" t="s">
        <v>44</v>
      </c>
      <c r="X86" s="12" t="s">
        <v>44</v>
      </c>
      <c r="Y86" s="12" t="s">
        <v>44</v>
      </c>
      <c r="Z86" s="12" t="s">
        <v>44</v>
      </c>
      <c r="AA86" s="47" t="s">
        <v>44</v>
      </c>
      <c r="AB86" s="24">
        <v>14</v>
      </c>
    </row>
    <row r="87" spans="1:28" ht="20" customHeight="1" x14ac:dyDescent="0.25">
      <c r="A87" s="28">
        <v>19</v>
      </c>
      <c r="B87" s="29" t="str">
        <f>'CLASSIFICA ORDINATA'!B86</f>
        <v>jet_morello</v>
      </c>
      <c r="C87" s="53" t="s">
        <v>245</v>
      </c>
      <c r="D87" s="12" t="s">
        <v>44</v>
      </c>
      <c r="E87" s="12">
        <v>14</v>
      </c>
      <c r="F87" s="12" t="s">
        <v>44</v>
      </c>
      <c r="G87" s="47">
        <v>14</v>
      </c>
      <c r="H87" s="12" t="s">
        <v>44</v>
      </c>
      <c r="I87" s="12" t="s">
        <v>44</v>
      </c>
      <c r="J87" s="12" t="s">
        <v>44</v>
      </c>
      <c r="K87" s="47" t="s">
        <v>44</v>
      </c>
      <c r="L87" s="12" t="s">
        <v>44</v>
      </c>
      <c r="M87" s="12" t="s">
        <v>44</v>
      </c>
      <c r="N87" s="12" t="s">
        <v>44</v>
      </c>
      <c r="O87" s="47" t="s">
        <v>44</v>
      </c>
      <c r="P87" s="49" t="s">
        <v>44</v>
      </c>
      <c r="Q87" s="20" t="s">
        <v>44</v>
      </c>
      <c r="R87" s="20" t="s">
        <v>44</v>
      </c>
      <c r="S87" s="47" t="s">
        <v>44</v>
      </c>
      <c r="T87" s="12" t="s">
        <v>44</v>
      </c>
      <c r="U87" s="12" t="s">
        <v>44</v>
      </c>
      <c r="V87" s="12" t="s">
        <v>44</v>
      </c>
      <c r="W87" s="47" t="s">
        <v>44</v>
      </c>
      <c r="X87" s="12" t="s">
        <v>44</v>
      </c>
      <c r="Y87" s="12" t="s">
        <v>44</v>
      </c>
      <c r="Z87" s="12" t="s">
        <v>44</v>
      </c>
      <c r="AA87" s="47" t="s">
        <v>44</v>
      </c>
      <c r="AB87" s="24">
        <v>14</v>
      </c>
    </row>
    <row r="88" spans="1:28" ht="20" customHeight="1" x14ac:dyDescent="0.25">
      <c r="A88" s="28">
        <v>20</v>
      </c>
      <c r="B88" s="29" t="str">
        <f>'CLASSIFICA ORDINATA'!B87</f>
        <v>TheGuarny</v>
      </c>
      <c r="C88" s="53" t="s">
        <v>153</v>
      </c>
      <c r="D88" s="12" t="s">
        <v>44</v>
      </c>
      <c r="E88" s="12">
        <v>14</v>
      </c>
      <c r="F88" s="12" t="s">
        <v>44</v>
      </c>
      <c r="G88" s="47">
        <v>14</v>
      </c>
      <c r="H88" s="12" t="s">
        <v>44</v>
      </c>
      <c r="I88" s="12" t="s">
        <v>44</v>
      </c>
      <c r="J88" s="12" t="s">
        <v>44</v>
      </c>
      <c r="K88" s="47" t="s">
        <v>44</v>
      </c>
      <c r="L88" s="12" t="s">
        <v>44</v>
      </c>
      <c r="M88" s="12" t="s">
        <v>44</v>
      </c>
      <c r="N88" s="12" t="s">
        <v>44</v>
      </c>
      <c r="O88" s="47" t="s">
        <v>44</v>
      </c>
      <c r="P88" s="12" t="s">
        <v>44</v>
      </c>
      <c r="Q88" s="12" t="s">
        <v>44</v>
      </c>
      <c r="R88" s="12" t="s">
        <v>44</v>
      </c>
      <c r="S88" s="47" t="s">
        <v>44</v>
      </c>
      <c r="T88" s="12" t="s">
        <v>44</v>
      </c>
      <c r="U88" s="12" t="s">
        <v>44</v>
      </c>
      <c r="V88" s="12" t="s">
        <v>44</v>
      </c>
      <c r="W88" s="47" t="s">
        <v>44</v>
      </c>
      <c r="X88" s="12" t="s">
        <v>44</v>
      </c>
      <c r="Y88" s="12" t="s">
        <v>44</v>
      </c>
      <c r="Z88" s="12" t="s">
        <v>44</v>
      </c>
      <c r="AA88" s="47" t="s">
        <v>44</v>
      </c>
      <c r="AB88" s="24">
        <v>14</v>
      </c>
    </row>
    <row r="89" spans="1:28" ht="20" customHeight="1" x14ac:dyDescent="0.25">
      <c r="A89" s="28">
        <v>21</v>
      </c>
      <c r="B89" s="29" t="str">
        <f>'CLASSIFICA ORDINATA'!B88</f>
        <v>andvea_99</v>
      </c>
      <c r="C89" s="53" t="s">
        <v>299</v>
      </c>
      <c r="D89" s="33" t="s">
        <v>44</v>
      </c>
      <c r="E89" s="33">
        <v>12</v>
      </c>
      <c r="F89" s="33">
        <v>1</v>
      </c>
      <c r="G89" s="51">
        <v>13</v>
      </c>
      <c r="H89" s="33" t="s">
        <v>44</v>
      </c>
      <c r="I89" s="33" t="s">
        <v>44</v>
      </c>
      <c r="J89" s="33" t="s">
        <v>44</v>
      </c>
      <c r="K89" s="51" t="s">
        <v>44</v>
      </c>
      <c r="L89" s="32" t="s">
        <v>44</v>
      </c>
      <c r="M89" s="32" t="s">
        <v>44</v>
      </c>
      <c r="N89" s="32" t="s">
        <v>44</v>
      </c>
      <c r="O89" s="51" t="s">
        <v>44</v>
      </c>
      <c r="P89" s="33" t="s">
        <v>44</v>
      </c>
      <c r="Q89" s="33" t="s">
        <v>44</v>
      </c>
      <c r="R89" s="33" t="s">
        <v>44</v>
      </c>
      <c r="S89" s="51" t="s">
        <v>44</v>
      </c>
      <c r="T89" s="33" t="s">
        <v>44</v>
      </c>
      <c r="U89" s="33" t="s">
        <v>44</v>
      </c>
      <c r="V89" s="33" t="s">
        <v>44</v>
      </c>
      <c r="W89" s="51" t="s">
        <v>44</v>
      </c>
      <c r="X89" s="33" t="s">
        <v>44</v>
      </c>
      <c r="Y89" s="33" t="s">
        <v>44</v>
      </c>
      <c r="Z89" s="33" t="s">
        <v>44</v>
      </c>
      <c r="AA89" s="51" t="s">
        <v>44</v>
      </c>
      <c r="AB89" s="34">
        <v>13</v>
      </c>
    </row>
    <row r="90" spans="1:28" ht="20" customHeight="1" x14ac:dyDescent="0.25">
      <c r="A90" s="28">
        <v>22</v>
      </c>
      <c r="B90" s="29" t="str">
        <f>'CLASSIFICA ORDINATA'!B89</f>
        <v>Pennysss71</v>
      </c>
      <c r="C90" s="53" t="s">
        <v>110</v>
      </c>
      <c r="D90" s="12" t="s">
        <v>44</v>
      </c>
      <c r="E90" s="12">
        <v>12</v>
      </c>
      <c r="F90" s="12" t="s">
        <v>44</v>
      </c>
      <c r="G90" s="47">
        <v>12</v>
      </c>
      <c r="H90" s="12" t="s">
        <v>44</v>
      </c>
      <c r="I90" s="12" t="s">
        <v>44</v>
      </c>
      <c r="J90" s="12" t="s">
        <v>44</v>
      </c>
      <c r="K90" s="47" t="s">
        <v>44</v>
      </c>
      <c r="L90" s="12" t="s">
        <v>44</v>
      </c>
      <c r="M90" s="12" t="s">
        <v>44</v>
      </c>
      <c r="N90" s="12" t="s">
        <v>44</v>
      </c>
      <c r="O90" s="47" t="s">
        <v>44</v>
      </c>
      <c r="P90" s="12" t="s">
        <v>44</v>
      </c>
      <c r="Q90" s="12" t="s">
        <v>44</v>
      </c>
      <c r="R90" s="12" t="s">
        <v>44</v>
      </c>
      <c r="S90" s="47" t="s">
        <v>44</v>
      </c>
      <c r="T90" s="12" t="s">
        <v>44</v>
      </c>
      <c r="U90" s="12" t="s">
        <v>44</v>
      </c>
      <c r="V90" s="12" t="s">
        <v>44</v>
      </c>
      <c r="W90" s="47" t="s">
        <v>44</v>
      </c>
      <c r="X90" s="12" t="s">
        <v>44</v>
      </c>
      <c r="Y90" s="12" t="s">
        <v>44</v>
      </c>
      <c r="Z90" s="12" t="s">
        <v>44</v>
      </c>
      <c r="AA90" s="47" t="s">
        <v>44</v>
      </c>
      <c r="AB90" s="24">
        <v>12</v>
      </c>
    </row>
    <row r="91" spans="1:28" ht="20" customHeight="1" x14ac:dyDescent="0.25">
      <c r="A91" s="28">
        <v>23</v>
      </c>
      <c r="B91" s="29" t="str">
        <f>'CLASSIFICA ORDINATA'!B90</f>
        <v>Tonyroto74</v>
      </c>
      <c r="C91" s="53" t="s">
        <v>206</v>
      </c>
      <c r="D91" s="43" t="s">
        <v>44</v>
      </c>
      <c r="E91" s="43">
        <v>12</v>
      </c>
      <c r="F91" s="43" t="s">
        <v>44</v>
      </c>
      <c r="G91" s="48">
        <v>12</v>
      </c>
      <c r="H91" s="43" t="s">
        <v>44</v>
      </c>
      <c r="I91" s="43" t="s">
        <v>44</v>
      </c>
      <c r="J91" s="43" t="s">
        <v>44</v>
      </c>
      <c r="K91" s="48" t="s">
        <v>44</v>
      </c>
      <c r="L91" s="43" t="s">
        <v>44</v>
      </c>
      <c r="M91" s="43" t="s">
        <v>44</v>
      </c>
      <c r="N91" s="43" t="s">
        <v>44</v>
      </c>
      <c r="O91" s="48" t="s">
        <v>44</v>
      </c>
      <c r="P91" s="35" t="s">
        <v>44</v>
      </c>
      <c r="Q91" s="35" t="s">
        <v>44</v>
      </c>
      <c r="R91" s="35" t="s">
        <v>44</v>
      </c>
      <c r="S91" s="48" t="s">
        <v>44</v>
      </c>
      <c r="T91" s="43" t="s">
        <v>44</v>
      </c>
      <c r="U91" s="43" t="s">
        <v>44</v>
      </c>
      <c r="V91" s="43" t="s">
        <v>44</v>
      </c>
      <c r="W91" s="48" t="s">
        <v>44</v>
      </c>
      <c r="X91" s="43" t="s">
        <v>44</v>
      </c>
      <c r="Y91" s="43" t="s">
        <v>44</v>
      </c>
      <c r="Z91" s="43" t="s">
        <v>44</v>
      </c>
      <c r="AA91" s="48" t="s">
        <v>44</v>
      </c>
      <c r="AB91" s="36">
        <v>12</v>
      </c>
    </row>
    <row r="92" spans="1:28" ht="20" customHeight="1" x14ac:dyDescent="0.25">
      <c r="A92" s="28">
        <v>24</v>
      </c>
      <c r="B92" s="29" t="str">
        <f>'CLASSIFICA ORDINATA'!B91</f>
        <v>TLM_Sicily22</v>
      </c>
      <c r="C92" s="53" t="s">
        <v>174</v>
      </c>
      <c r="D92" s="20" t="s">
        <v>44</v>
      </c>
      <c r="E92" s="20">
        <v>12</v>
      </c>
      <c r="F92" s="20" t="s">
        <v>44</v>
      </c>
      <c r="G92" s="47">
        <v>12</v>
      </c>
      <c r="H92" s="12" t="s">
        <v>44</v>
      </c>
      <c r="I92" s="12" t="s">
        <v>44</v>
      </c>
      <c r="J92" s="12" t="s">
        <v>44</v>
      </c>
      <c r="K92" s="47" t="s">
        <v>44</v>
      </c>
      <c r="L92" s="12" t="s">
        <v>44</v>
      </c>
      <c r="M92" s="12" t="s">
        <v>44</v>
      </c>
      <c r="N92" s="12" t="s">
        <v>44</v>
      </c>
      <c r="O92" s="47" t="s">
        <v>44</v>
      </c>
      <c r="P92" s="12" t="s">
        <v>44</v>
      </c>
      <c r="Q92" s="12" t="s">
        <v>44</v>
      </c>
      <c r="R92" s="12" t="s">
        <v>44</v>
      </c>
      <c r="S92" s="47" t="s">
        <v>44</v>
      </c>
      <c r="T92" s="12" t="s">
        <v>44</v>
      </c>
      <c r="U92" s="12" t="s">
        <v>44</v>
      </c>
      <c r="V92" s="12" t="s">
        <v>44</v>
      </c>
      <c r="W92" s="47" t="s">
        <v>44</v>
      </c>
      <c r="X92" s="12" t="s">
        <v>44</v>
      </c>
      <c r="Y92" s="12" t="s">
        <v>44</v>
      </c>
      <c r="Z92" s="12" t="s">
        <v>44</v>
      </c>
      <c r="AA92" s="47" t="s">
        <v>44</v>
      </c>
      <c r="AB92" s="24">
        <v>12</v>
      </c>
    </row>
    <row r="93" spans="1:28" ht="20" customHeight="1" x14ac:dyDescent="0.25">
      <c r="A93" s="28">
        <v>25</v>
      </c>
      <c r="B93" s="29" t="str">
        <f>'CLASSIFICA ORDINATA'!B92</f>
        <v>TLM_michaelfox12</v>
      </c>
      <c r="C93" s="53" t="s">
        <v>303</v>
      </c>
      <c r="D93" s="12" t="s">
        <v>44</v>
      </c>
      <c r="E93" s="12">
        <v>10</v>
      </c>
      <c r="F93" s="12" t="s">
        <v>44</v>
      </c>
      <c r="G93" s="47">
        <v>10</v>
      </c>
      <c r="H93" s="12" t="s">
        <v>44</v>
      </c>
      <c r="I93" s="12" t="s">
        <v>44</v>
      </c>
      <c r="J93" s="12" t="s">
        <v>44</v>
      </c>
      <c r="K93" s="47" t="s">
        <v>44</v>
      </c>
      <c r="L93" s="20" t="s">
        <v>44</v>
      </c>
      <c r="M93" s="20" t="s">
        <v>44</v>
      </c>
      <c r="N93" s="20" t="s">
        <v>44</v>
      </c>
      <c r="O93" s="47" t="s">
        <v>44</v>
      </c>
      <c r="P93" s="12" t="s">
        <v>44</v>
      </c>
      <c r="Q93" s="12" t="s">
        <v>44</v>
      </c>
      <c r="R93" s="12" t="s">
        <v>44</v>
      </c>
      <c r="S93" s="47" t="s">
        <v>44</v>
      </c>
      <c r="T93" s="20" t="s">
        <v>44</v>
      </c>
      <c r="U93" s="20" t="s">
        <v>44</v>
      </c>
      <c r="V93" s="20" t="s">
        <v>44</v>
      </c>
      <c r="W93" s="47" t="s">
        <v>44</v>
      </c>
      <c r="X93" s="12" t="s">
        <v>44</v>
      </c>
      <c r="Y93" s="12" t="s">
        <v>44</v>
      </c>
      <c r="Z93" s="12" t="s">
        <v>44</v>
      </c>
      <c r="AA93" s="47" t="s">
        <v>44</v>
      </c>
      <c r="AB93" s="24">
        <v>10</v>
      </c>
    </row>
    <row r="94" spans="1:28" ht="20" customHeight="1" x14ac:dyDescent="0.25">
      <c r="A94" s="28">
        <v>26</v>
      </c>
      <c r="B94" s="29" t="str">
        <f>'CLASSIFICA ORDINATA'!B93</f>
        <v>Freshofthezone</v>
      </c>
      <c r="C94" s="53" t="s">
        <v>65</v>
      </c>
      <c r="D94" s="49" t="s">
        <v>44</v>
      </c>
      <c r="E94" s="20">
        <v>10</v>
      </c>
      <c r="F94" s="20" t="s">
        <v>44</v>
      </c>
      <c r="G94" s="47">
        <v>10</v>
      </c>
      <c r="H94" s="12" t="s">
        <v>44</v>
      </c>
      <c r="I94" s="12" t="s">
        <v>44</v>
      </c>
      <c r="J94" s="12" t="s">
        <v>44</v>
      </c>
      <c r="K94" s="47" t="s">
        <v>44</v>
      </c>
      <c r="L94" s="12" t="s">
        <v>44</v>
      </c>
      <c r="M94" s="12" t="s">
        <v>44</v>
      </c>
      <c r="N94" s="12" t="s">
        <v>44</v>
      </c>
      <c r="O94" s="47" t="s">
        <v>44</v>
      </c>
      <c r="P94" s="20" t="s">
        <v>44</v>
      </c>
      <c r="Q94" s="20" t="s">
        <v>44</v>
      </c>
      <c r="R94" s="20" t="s">
        <v>44</v>
      </c>
      <c r="S94" s="47" t="s">
        <v>44</v>
      </c>
      <c r="T94" s="20" t="s">
        <v>44</v>
      </c>
      <c r="U94" s="20" t="s">
        <v>44</v>
      </c>
      <c r="V94" s="20" t="s">
        <v>44</v>
      </c>
      <c r="W94" s="47" t="s">
        <v>44</v>
      </c>
      <c r="X94" s="20" t="s">
        <v>44</v>
      </c>
      <c r="Y94" s="20" t="s">
        <v>44</v>
      </c>
      <c r="Z94" s="20" t="s">
        <v>44</v>
      </c>
      <c r="AA94" s="47" t="s">
        <v>44</v>
      </c>
      <c r="AB94" s="24">
        <v>10</v>
      </c>
    </row>
    <row r="95" spans="1:28" ht="20" customHeight="1" x14ac:dyDescent="0.25">
      <c r="A95" s="28">
        <v>27</v>
      </c>
      <c r="B95" s="29" t="str">
        <f>'CLASSIFICA ORDINATA'!B94</f>
        <v>TLM_wid83</v>
      </c>
      <c r="C95" s="53" t="s">
        <v>225</v>
      </c>
      <c r="D95" s="20" t="s">
        <v>44</v>
      </c>
      <c r="E95" s="20">
        <v>10</v>
      </c>
      <c r="F95" s="20" t="s">
        <v>44</v>
      </c>
      <c r="G95" s="47">
        <v>10</v>
      </c>
      <c r="H95" s="12" t="s">
        <v>44</v>
      </c>
      <c r="I95" s="12" t="s">
        <v>44</v>
      </c>
      <c r="J95" s="12" t="s">
        <v>44</v>
      </c>
      <c r="K95" s="47" t="s">
        <v>44</v>
      </c>
      <c r="L95" s="20" t="s">
        <v>44</v>
      </c>
      <c r="M95" s="20" t="s">
        <v>44</v>
      </c>
      <c r="N95" s="20" t="s">
        <v>44</v>
      </c>
      <c r="O95" s="47" t="s">
        <v>44</v>
      </c>
      <c r="P95" s="20" t="s">
        <v>44</v>
      </c>
      <c r="Q95" s="20" t="s">
        <v>44</v>
      </c>
      <c r="R95" s="20" t="s">
        <v>44</v>
      </c>
      <c r="S95" s="47" t="s">
        <v>44</v>
      </c>
      <c r="T95" s="20" t="s">
        <v>44</v>
      </c>
      <c r="U95" s="20" t="s">
        <v>44</v>
      </c>
      <c r="V95" s="20" t="s">
        <v>44</v>
      </c>
      <c r="W95" s="47" t="s">
        <v>44</v>
      </c>
      <c r="X95" s="12" t="s">
        <v>44</v>
      </c>
      <c r="Y95" s="12" t="s">
        <v>44</v>
      </c>
      <c r="Z95" s="12" t="s">
        <v>44</v>
      </c>
      <c r="AA95" s="47" t="s">
        <v>44</v>
      </c>
      <c r="AB95" s="24">
        <v>10</v>
      </c>
    </row>
    <row r="96" spans="1:28" ht="20" customHeight="1" x14ac:dyDescent="0.25">
      <c r="A96" s="28">
        <v>28</v>
      </c>
      <c r="B96" s="29" t="str">
        <f>'CLASSIFICA ORDINATA'!B95</f>
        <v>Selpa974</v>
      </c>
      <c r="C96" s="53" t="s">
        <v>37</v>
      </c>
      <c r="D96" s="20" t="s">
        <v>44</v>
      </c>
      <c r="E96" s="20">
        <v>10</v>
      </c>
      <c r="F96" s="20" t="s">
        <v>44</v>
      </c>
      <c r="G96" s="47">
        <v>10</v>
      </c>
      <c r="H96" s="20" t="s">
        <v>44</v>
      </c>
      <c r="I96" s="20" t="s">
        <v>44</v>
      </c>
      <c r="J96" s="20" t="s">
        <v>44</v>
      </c>
      <c r="K96" s="47" t="s">
        <v>44</v>
      </c>
      <c r="L96" s="20" t="s">
        <v>44</v>
      </c>
      <c r="M96" s="20" t="s">
        <v>44</v>
      </c>
      <c r="N96" s="20" t="s">
        <v>44</v>
      </c>
      <c r="O96" s="47" t="s">
        <v>44</v>
      </c>
      <c r="P96" s="12" t="s">
        <v>44</v>
      </c>
      <c r="Q96" s="12" t="s">
        <v>44</v>
      </c>
      <c r="R96" s="12" t="s">
        <v>44</v>
      </c>
      <c r="S96" s="47" t="s">
        <v>44</v>
      </c>
      <c r="T96" s="20" t="s">
        <v>44</v>
      </c>
      <c r="U96" s="20" t="s">
        <v>44</v>
      </c>
      <c r="V96" s="20" t="s">
        <v>44</v>
      </c>
      <c r="W96" s="47" t="s">
        <v>44</v>
      </c>
      <c r="X96" s="12" t="s">
        <v>44</v>
      </c>
      <c r="Y96" s="12" t="s">
        <v>44</v>
      </c>
      <c r="Z96" s="12" t="s">
        <v>44</v>
      </c>
      <c r="AA96" s="47" t="s">
        <v>44</v>
      </c>
      <c r="AB96" s="24">
        <v>10</v>
      </c>
    </row>
    <row r="97" spans="1:28" ht="20" customHeight="1" x14ac:dyDescent="0.25">
      <c r="A97" s="28">
        <v>29</v>
      </c>
      <c r="B97" s="29" t="str">
        <f>'CLASSIFICA ORDINATA'!B96</f>
        <v>GTRC-ALERASATO74</v>
      </c>
      <c r="C97" s="53" t="s">
        <v>157</v>
      </c>
      <c r="D97" s="20" t="s">
        <v>44</v>
      </c>
      <c r="E97" s="20">
        <v>8</v>
      </c>
      <c r="F97" s="20" t="s">
        <v>44</v>
      </c>
      <c r="G97" s="47">
        <v>8</v>
      </c>
      <c r="H97" s="20" t="s">
        <v>44</v>
      </c>
      <c r="I97" s="20" t="s">
        <v>44</v>
      </c>
      <c r="J97" s="20" t="s">
        <v>44</v>
      </c>
      <c r="K97" s="47" t="s">
        <v>44</v>
      </c>
      <c r="L97" s="20" t="s">
        <v>44</v>
      </c>
      <c r="M97" s="20" t="s">
        <v>44</v>
      </c>
      <c r="N97" s="20" t="s">
        <v>44</v>
      </c>
      <c r="O97" s="47" t="s">
        <v>44</v>
      </c>
      <c r="P97" s="12" t="s">
        <v>44</v>
      </c>
      <c r="Q97" s="12" t="s">
        <v>44</v>
      </c>
      <c r="R97" s="12" t="s">
        <v>44</v>
      </c>
      <c r="S97" s="47" t="s">
        <v>44</v>
      </c>
      <c r="T97" s="20" t="s">
        <v>44</v>
      </c>
      <c r="U97" s="20" t="s">
        <v>44</v>
      </c>
      <c r="V97" s="20" t="s">
        <v>44</v>
      </c>
      <c r="W97" s="47" t="s">
        <v>44</v>
      </c>
      <c r="X97" s="12" t="s">
        <v>44</v>
      </c>
      <c r="Y97" s="12" t="s">
        <v>44</v>
      </c>
      <c r="Z97" s="12" t="s">
        <v>44</v>
      </c>
      <c r="AA97" s="47" t="s">
        <v>44</v>
      </c>
      <c r="AB97" s="24">
        <v>8</v>
      </c>
    </row>
    <row r="98" spans="1:28" ht="20" customHeight="1" x14ac:dyDescent="0.25">
      <c r="A98" s="28">
        <v>30</v>
      </c>
      <c r="B98" s="29" t="str">
        <f>'CLASSIFICA ORDINATA'!B97</f>
        <v>GTRC_AMALA_ETNA</v>
      </c>
      <c r="C98" s="53" t="s">
        <v>284</v>
      </c>
      <c r="D98" s="12" t="s">
        <v>44</v>
      </c>
      <c r="E98" s="12">
        <v>8</v>
      </c>
      <c r="F98" s="12" t="s">
        <v>44</v>
      </c>
      <c r="G98" s="47">
        <v>8</v>
      </c>
      <c r="H98" s="20" t="s">
        <v>44</v>
      </c>
      <c r="I98" s="20" t="s">
        <v>44</v>
      </c>
      <c r="J98" s="20" t="s">
        <v>44</v>
      </c>
      <c r="K98" s="47" t="s">
        <v>44</v>
      </c>
      <c r="L98" s="20" t="s">
        <v>44</v>
      </c>
      <c r="M98" s="20" t="s">
        <v>44</v>
      </c>
      <c r="N98" s="20" t="s">
        <v>44</v>
      </c>
      <c r="O98" s="47" t="s">
        <v>44</v>
      </c>
      <c r="P98" s="20" t="s">
        <v>44</v>
      </c>
      <c r="Q98" s="20" t="s">
        <v>44</v>
      </c>
      <c r="R98" s="20" t="s">
        <v>44</v>
      </c>
      <c r="S98" s="47" t="s">
        <v>44</v>
      </c>
      <c r="T98" s="20" t="s">
        <v>44</v>
      </c>
      <c r="U98" s="20" t="s">
        <v>44</v>
      </c>
      <c r="V98" s="20" t="s">
        <v>44</v>
      </c>
      <c r="W98" s="47" t="s">
        <v>44</v>
      </c>
      <c r="X98" s="12" t="s">
        <v>44</v>
      </c>
      <c r="Y98" s="12" t="s">
        <v>44</v>
      </c>
      <c r="Z98" s="12" t="s">
        <v>44</v>
      </c>
      <c r="AA98" s="47" t="s">
        <v>44</v>
      </c>
      <c r="AB98" s="24">
        <v>8</v>
      </c>
    </row>
    <row r="99" spans="1:28" ht="20" customHeight="1" x14ac:dyDescent="0.25">
      <c r="A99" s="28">
        <v>31</v>
      </c>
      <c r="B99" s="29" t="str">
        <f>'CLASSIFICA ORDINATA'!B98</f>
        <v>Liotru1979</v>
      </c>
      <c r="C99" s="53" t="s">
        <v>210</v>
      </c>
      <c r="D99" s="12" t="s">
        <v>44</v>
      </c>
      <c r="E99" s="12">
        <v>8</v>
      </c>
      <c r="F99" s="12" t="s">
        <v>44</v>
      </c>
      <c r="G99" s="47">
        <v>8</v>
      </c>
      <c r="H99" s="12" t="s">
        <v>44</v>
      </c>
      <c r="I99" s="12" t="s">
        <v>44</v>
      </c>
      <c r="J99" s="12" t="s">
        <v>44</v>
      </c>
      <c r="K99" s="47" t="s">
        <v>44</v>
      </c>
      <c r="L99" s="12" t="s">
        <v>44</v>
      </c>
      <c r="M99" s="12" t="s">
        <v>44</v>
      </c>
      <c r="N99" s="12" t="s">
        <v>44</v>
      </c>
      <c r="O99" s="47" t="s">
        <v>44</v>
      </c>
      <c r="P99" s="12" t="s">
        <v>44</v>
      </c>
      <c r="Q99" s="12" t="s">
        <v>44</v>
      </c>
      <c r="R99" s="12" t="s">
        <v>44</v>
      </c>
      <c r="S99" s="47" t="s">
        <v>44</v>
      </c>
      <c r="T99" s="12" t="s">
        <v>44</v>
      </c>
      <c r="U99" s="12" t="s">
        <v>44</v>
      </c>
      <c r="V99" s="12" t="s">
        <v>44</v>
      </c>
      <c r="W99" s="47" t="s">
        <v>44</v>
      </c>
      <c r="X99" s="12" t="s">
        <v>44</v>
      </c>
      <c r="Y99" s="12" t="s">
        <v>44</v>
      </c>
      <c r="Z99" s="12" t="s">
        <v>44</v>
      </c>
      <c r="AA99" s="47" t="s">
        <v>44</v>
      </c>
      <c r="AB99" s="24">
        <v>8</v>
      </c>
    </row>
    <row r="100" spans="1:28" ht="20" customHeight="1" x14ac:dyDescent="0.25">
      <c r="A100" s="28">
        <v>32</v>
      </c>
      <c r="B100" s="29" t="str">
        <f>'CLASSIFICA ORDINATA'!B99</f>
        <v>madonte</v>
      </c>
      <c r="C100" s="53" t="s">
        <v>335</v>
      </c>
      <c r="D100" s="12" t="s">
        <v>44</v>
      </c>
      <c r="E100" s="12">
        <v>8</v>
      </c>
      <c r="F100" s="12" t="s">
        <v>44</v>
      </c>
      <c r="G100" s="47">
        <v>8</v>
      </c>
      <c r="H100" s="12" t="s">
        <v>44</v>
      </c>
      <c r="I100" s="12" t="s">
        <v>44</v>
      </c>
      <c r="J100" s="12" t="s">
        <v>44</v>
      </c>
      <c r="K100" s="47" t="s">
        <v>44</v>
      </c>
      <c r="L100" s="12" t="s">
        <v>44</v>
      </c>
      <c r="M100" s="12" t="s">
        <v>44</v>
      </c>
      <c r="N100" s="12" t="s">
        <v>44</v>
      </c>
      <c r="O100" s="47" t="s">
        <v>44</v>
      </c>
      <c r="P100" s="12" t="s">
        <v>44</v>
      </c>
      <c r="Q100" s="12" t="s">
        <v>44</v>
      </c>
      <c r="R100" s="12" t="s">
        <v>44</v>
      </c>
      <c r="S100" s="47" t="s">
        <v>44</v>
      </c>
      <c r="T100" s="12" t="s">
        <v>44</v>
      </c>
      <c r="U100" s="12" t="s">
        <v>44</v>
      </c>
      <c r="V100" s="12" t="s">
        <v>44</v>
      </c>
      <c r="W100" s="47" t="s">
        <v>44</v>
      </c>
      <c r="X100" s="12" t="s">
        <v>44</v>
      </c>
      <c r="Y100" s="12" t="s">
        <v>44</v>
      </c>
      <c r="Z100" s="12" t="s">
        <v>44</v>
      </c>
      <c r="AA100" s="47" t="s">
        <v>44</v>
      </c>
      <c r="AB100" s="24">
        <v>8</v>
      </c>
    </row>
    <row r="101" spans="1:28" ht="20" customHeight="1" x14ac:dyDescent="0.25">
      <c r="A101" s="28">
        <v>33</v>
      </c>
      <c r="B101" s="29" t="str">
        <f>'CLASSIFICA ORDINATA'!B100</f>
        <v>Silentium884</v>
      </c>
      <c r="C101" s="53" t="s">
        <v>63</v>
      </c>
      <c r="D101" s="12" t="s">
        <v>44</v>
      </c>
      <c r="E101" s="12">
        <v>6</v>
      </c>
      <c r="F101" s="12" t="s">
        <v>44</v>
      </c>
      <c r="G101" s="47">
        <v>6</v>
      </c>
      <c r="H101" s="12" t="s">
        <v>44</v>
      </c>
      <c r="I101" s="12" t="s">
        <v>44</v>
      </c>
      <c r="J101" s="12" t="s">
        <v>44</v>
      </c>
      <c r="K101" s="47" t="s">
        <v>44</v>
      </c>
      <c r="L101" s="12" t="s">
        <v>44</v>
      </c>
      <c r="M101" s="12" t="s">
        <v>44</v>
      </c>
      <c r="N101" s="12" t="s">
        <v>44</v>
      </c>
      <c r="O101" s="47" t="s">
        <v>44</v>
      </c>
      <c r="P101" s="12" t="s">
        <v>44</v>
      </c>
      <c r="Q101" s="12" t="s">
        <v>44</v>
      </c>
      <c r="R101" s="12" t="s">
        <v>44</v>
      </c>
      <c r="S101" s="47" t="s">
        <v>44</v>
      </c>
      <c r="T101" s="12" t="s">
        <v>44</v>
      </c>
      <c r="U101" s="12" t="s">
        <v>44</v>
      </c>
      <c r="V101" s="12" t="s">
        <v>44</v>
      </c>
      <c r="W101" s="47" t="s">
        <v>44</v>
      </c>
      <c r="X101" s="12" t="s">
        <v>44</v>
      </c>
      <c r="Y101" s="12" t="s">
        <v>44</v>
      </c>
      <c r="Z101" s="12" t="s">
        <v>44</v>
      </c>
      <c r="AA101" s="47" t="s">
        <v>44</v>
      </c>
      <c r="AB101" s="24">
        <v>6</v>
      </c>
    </row>
    <row r="102" spans="1:28" ht="20" customHeight="1" x14ac:dyDescent="0.25">
      <c r="A102" s="28">
        <v>34</v>
      </c>
      <c r="B102" s="29" t="str">
        <f>'CLASSIFICA ORDINATA'!B101</f>
        <v>Dani_CT1946</v>
      </c>
      <c r="C102" s="53" t="s">
        <v>313</v>
      </c>
      <c r="D102" s="12" t="s">
        <v>44</v>
      </c>
      <c r="E102" s="12">
        <v>6</v>
      </c>
      <c r="F102" s="12" t="s">
        <v>44</v>
      </c>
      <c r="G102" s="47">
        <v>6</v>
      </c>
      <c r="H102" s="12" t="s">
        <v>44</v>
      </c>
      <c r="I102" s="12" t="s">
        <v>44</v>
      </c>
      <c r="J102" s="12" t="s">
        <v>44</v>
      </c>
      <c r="K102" s="47" t="s">
        <v>44</v>
      </c>
      <c r="L102" s="12" t="s">
        <v>44</v>
      </c>
      <c r="M102" s="12" t="s">
        <v>44</v>
      </c>
      <c r="N102" s="12" t="s">
        <v>44</v>
      </c>
      <c r="O102" s="47" t="s">
        <v>44</v>
      </c>
      <c r="P102" s="12" t="s">
        <v>44</v>
      </c>
      <c r="Q102" s="12" t="s">
        <v>44</v>
      </c>
      <c r="R102" s="12" t="s">
        <v>44</v>
      </c>
      <c r="S102" s="47" t="s">
        <v>44</v>
      </c>
      <c r="T102" s="12" t="s">
        <v>44</v>
      </c>
      <c r="U102" s="12" t="s">
        <v>44</v>
      </c>
      <c r="V102" s="12" t="s">
        <v>44</v>
      </c>
      <c r="W102" s="47" t="s">
        <v>44</v>
      </c>
      <c r="X102" s="12" t="s">
        <v>44</v>
      </c>
      <c r="Y102" s="12" t="s">
        <v>44</v>
      </c>
      <c r="Z102" s="12" t="s">
        <v>44</v>
      </c>
      <c r="AA102" s="47" t="s">
        <v>44</v>
      </c>
      <c r="AB102" s="24">
        <v>6</v>
      </c>
    </row>
    <row r="103" spans="1:28" ht="20" customHeight="1" x14ac:dyDescent="0.25">
      <c r="A103" s="28">
        <v>35</v>
      </c>
      <c r="B103" s="29" t="str">
        <f>'CLASSIFICA ORDINATA'!B102</f>
        <v>Stefanostefanof</v>
      </c>
      <c r="C103" s="53" t="s">
        <v>347</v>
      </c>
      <c r="D103" s="12" t="s">
        <v>44</v>
      </c>
      <c r="E103" s="12">
        <v>6</v>
      </c>
      <c r="F103" s="12" t="s">
        <v>44</v>
      </c>
      <c r="G103" s="47">
        <v>6</v>
      </c>
      <c r="H103" s="12" t="s">
        <v>44</v>
      </c>
      <c r="I103" s="12" t="s">
        <v>44</v>
      </c>
      <c r="J103" s="12" t="s">
        <v>44</v>
      </c>
      <c r="K103" s="47" t="s">
        <v>44</v>
      </c>
      <c r="L103" s="12" t="s">
        <v>44</v>
      </c>
      <c r="M103" s="12" t="s">
        <v>44</v>
      </c>
      <c r="N103" s="12" t="s">
        <v>44</v>
      </c>
      <c r="O103" s="47" t="s">
        <v>44</v>
      </c>
      <c r="P103" s="12" t="s">
        <v>44</v>
      </c>
      <c r="Q103" s="12" t="s">
        <v>44</v>
      </c>
      <c r="R103" s="12" t="s">
        <v>44</v>
      </c>
      <c r="S103" s="47" t="s">
        <v>44</v>
      </c>
      <c r="T103" s="12" t="s">
        <v>44</v>
      </c>
      <c r="U103" s="12" t="s">
        <v>44</v>
      </c>
      <c r="V103" s="12" t="s">
        <v>44</v>
      </c>
      <c r="W103" s="47" t="s">
        <v>44</v>
      </c>
      <c r="X103" s="12" t="s">
        <v>44</v>
      </c>
      <c r="Y103" s="12" t="s">
        <v>44</v>
      </c>
      <c r="Z103" s="12" t="s">
        <v>44</v>
      </c>
      <c r="AA103" s="47" t="s">
        <v>44</v>
      </c>
      <c r="AB103" s="24">
        <v>6</v>
      </c>
    </row>
    <row r="104" spans="1:28" ht="20" customHeight="1" x14ac:dyDescent="0.25">
      <c r="A104" s="28">
        <v>36</v>
      </c>
      <c r="B104" s="29" t="str">
        <f>'CLASSIFICA ORDINATA'!B103</f>
        <v>DCT-bazzo</v>
      </c>
      <c r="C104" s="53" t="s">
        <v>90</v>
      </c>
      <c r="D104" s="12" t="s">
        <v>44</v>
      </c>
      <c r="E104" s="12">
        <v>6</v>
      </c>
      <c r="F104" s="12" t="s">
        <v>44</v>
      </c>
      <c r="G104" s="47">
        <v>6</v>
      </c>
      <c r="H104" s="12" t="s">
        <v>44</v>
      </c>
      <c r="I104" s="12" t="s">
        <v>44</v>
      </c>
      <c r="J104" s="12" t="s">
        <v>44</v>
      </c>
      <c r="K104" s="47" t="s">
        <v>44</v>
      </c>
      <c r="L104" s="12" t="s">
        <v>44</v>
      </c>
      <c r="M104" s="12" t="s">
        <v>44</v>
      </c>
      <c r="N104" s="12" t="s">
        <v>44</v>
      </c>
      <c r="O104" s="47" t="s">
        <v>44</v>
      </c>
      <c r="P104" s="49" t="s">
        <v>44</v>
      </c>
      <c r="Q104" s="20" t="s">
        <v>44</v>
      </c>
      <c r="R104" s="20" t="s">
        <v>44</v>
      </c>
      <c r="S104" s="47" t="s">
        <v>44</v>
      </c>
      <c r="T104" s="12" t="s">
        <v>44</v>
      </c>
      <c r="U104" s="12" t="s">
        <v>44</v>
      </c>
      <c r="V104" s="12" t="s">
        <v>44</v>
      </c>
      <c r="W104" s="47" t="s">
        <v>44</v>
      </c>
      <c r="X104" s="12" t="s">
        <v>44</v>
      </c>
      <c r="Y104" s="12" t="s">
        <v>44</v>
      </c>
      <c r="Z104" s="12" t="s">
        <v>44</v>
      </c>
      <c r="AA104" s="47" t="s">
        <v>44</v>
      </c>
      <c r="AB104" s="24">
        <v>6</v>
      </c>
    </row>
    <row r="105" spans="1:28" ht="20" customHeight="1" x14ac:dyDescent="0.25">
      <c r="A105" s="28">
        <v>37</v>
      </c>
      <c r="B105" s="29" t="str">
        <f>'CLASSIFICA ORDINATA'!B104</f>
        <v>RMT_GEFF-21</v>
      </c>
      <c r="C105" s="53" t="s">
        <v>201</v>
      </c>
      <c r="D105" s="12" t="s">
        <v>44</v>
      </c>
      <c r="E105" s="12">
        <v>5</v>
      </c>
      <c r="F105" s="12" t="s">
        <v>44</v>
      </c>
      <c r="G105" s="47">
        <v>5</v>
      </c>
      <c r="H105" s="12" t="s">
        <v>44</v>
      </c>
      <c r="I105" s="12" t="s">
        <v>44</v>
      </c>
      <c r="J105" s="12" t="s">
        <v>44</v>
      </c>
      <c r="K105" s="47" t="s">
        <v>44</v>
      </c>
      <c r="L105" s="12" t="s">
        <v>44</v>
      </c>
      <c r="M105" s="12" t="s">
        <v>44</v>
      </c>
      <c r="N105" s="12" t="s">
        <v>44</v>
      </c>
      <c r="O105" s="47" t="s">
        <v>44</v>
      </c>
      <c r="P105" s="12" t="s">
        <v>44</v>
      </c>
      <c r="Q105" s="12" t="s">
        <v>44</v>
      </c>
      <c r="R105" s="12" t="s">
        <v>44</v>
      </c>
      <c r="S105" s="47" t="s">
        <v>44</v>
      </c>
      <c r="T105" s="12" t="s">
        <v>44</v>
      </c>
      <c r="U105" s="12" t="s">
        <v>44</v>
      </c>
      <c r="V105" s="12" t="s">
        <v>44</v>
      </c>
      <c r="W105" s="47" t="s">
        <v>44</v>
      </c>
      <c r="X105" s="12" t="s">
        <v>44</v>
      </c>
      <c r="Y105" s="12" t="s">
        <v>44</v>
      </c>
      <c r="Z105" s="12" t="s">
        <v>44</v>
      </c>
      <c r="AA105" s="47" t="s">
        <v>44</v>
      </c>
      <c r="AB105" s="24">
        <v>5</v>
      </c>
    </row>
    <row r="106" spans="1:28" ht="20" customHeight="1" x14ac:dyDescent="0.25">
      <c r="A106" s="28">
        <v>38</v>
      </c>
      <c r="B106" s="29" t="str">
        <f>'CLASSIFICA ORDINATA'!B105</f>
        <v>Talsigiano</v>
      </c>
      <c r="C106" s="53" t="s">
        <v>276</v>
      </c>
      <c r="D106" s="12" t="s">
        <v>44</v>
      </c>
      <c r="E106" s="12">
        <v>5</v>
      </c>
      <c r="F106" s="12" t="s">
        <v>44</v>
      </c>
      <c r="G106" s="47">
        <v>5</v>
      </c>
      <c r="H106" s="12" t="s">
        <v>44</v>
      </c>
      <c r="I106" s="12" t="s">
        <v>44</v>
      </c>
      <c r="J106" s="12" t="s">
        <v>44</v>
      </c>
      <c r="K106" s="47" t="s">
        <v>44</v>
      </c>
      <c r="L106" s="20" t="s">
        <v>44</v>
      </c>
      <c r="M106" s="20" t="s">
        <v>44</v>
      </c>
      <c r="N106" s="20" t="s">
        <v>44</v>
      </c>
      <c r="O106" s="47" t="s">
        <v>44</v>
      </c>
      <c r="P106" s="12" t="s">
        <v>44</v>
      </c>
      <c r="Q106" s="12" t="s">
        <v>44</v>
      </c>
      <c r="R106" s="12" t="s">
        <v>44</v>
      </c>
      <c r="S106" s="47" t="s">
        <v>44</v>
      </c>
      <c r="T106" s="12" t="s">
        <v>44</v>
      </c>
      <c r="U106" s="12" t="s">
        <v>44</v>
      </c>
      <c r="V106" s="12" t="s">
        <v>44</v>
      </c>
      <c r="W106" s="47" t="s">
        <v>44</v>
      </c>
      <c r="X106" s="12" t="s">
        <v>44</v>
      </c>
      <c r="Y106" s="12" t="s">
        <v>44</v>
      </c>
      <c r="Z106" s="12" t="s">
        <v>44</v>
      </c>
      <c r="AA106" s="47" t="s">
        <v>44</v>
      </c>
      <c r="AB106" s="24">
        <v>5</v>
      </c>
    </row>
    <row r="107" spans="1:28" ht="20" customHeight="1" x14ac:dyDescent="0.25">
      <c r="A107" s="28">
        <v>39</v>
      </c>
      <c r="B107" s="29" t="str">
        <f>'CLASSIFICA ORDINATA'!B106</f>
        <v>Blokkobubbles</v>
      </c>
      <c r="C107" s="53" t="s">
        <v>36</v>
      </c>
      <c r="D107" s="12" t="s">
        <v>44</v>
      </c>
      <c r="E107" s="12">
        <v>5</v>
      </c>
      <c r="F107" s="12" t="s">
        <v>44</v>
      </c>
      <c r="G107" s="47">
        <v>5</v>
      </c>
      <c r="H107" s="12" t="s">
        <v>44</v>
      </c>
      <c r="I107" s="12" t="s">
        <v>44</v>
      </c>
      <c r="J107" s="12" t="s">
        <v>44</v>
      </c>
      <c r="K107" s="47" t="s">
        <v>44</v>
      </c>
      <c r="L107" s="12" t="s">
        <v>44</v>
      </c>
      <c r="M107" s="12" t="s">
        <v>44</v>
      </c>
      <c r="N107" s="12" t="s">
        <v>44</v>
      </c>
      <c r="O107" s="47" t="s">
        <v>44</v>
      </c>
      <c r="P107" s="12" t="s">
        <v>44</v>
      </c>
      <c r="Q107" s="12" t="s">
        <v>44</v>
      </c>
      <c r="R107" s="12" t="s">
        <v>44</v>
      </c>
      <c r="S107" s="47" t="s">
        <v>44</v>
      </c>
      <c r="T107" s="12" t="s">
        <v>44</v>
      </c>
      <c r="U107" s="12" t="s">
        <v>44</v>
      </c>
      <c r="V107" s="12" t="s">
        <v>44</v>
      </c>
      <c r="W107" s="47" t="s">
        <v>44</v>
      </c>
      <c r="X107" s="12" t="s">
        <v>44</v>
      </c>
      <c r="Y107" s="12" t="s">
        <v>44</v>
      </c>
      <c r="Z107" s="12" t="s">
        <v>44</v>
      </c>
      <c r="AA107" s="47" t="s">
        <v>44</v>
      </c>
      <c r="AB107" s="24">
        <v>5</v>
      </c>
    </row>
    <row r="108" spans="1:28" ht="20" customHeight="1" x14ac:dyDescent="0.25">
      <c r="A108" s="28">
        <v>40</v>
      </c>
      <c r="B108" s="29" t="str">
        <f>'CLASSIFICA ORDINATA'!B107</f>
        <v>Cjcerbola</v>
      </c>
      <c r="C108" s="53" t="s">
        <v>94</v>
      </c>
      <c r="D108" s="43" t="s">
        <v>44</v>
      </c>
      <c r="E108" s="43">
        <v>5</v>
      </c>
      <c r="F108" s="43" t="s">
        <v>44</v>
      </c>
      <c r="G108" s="48">
        <v>5</v>
      </c>
      <c r="H108" s="43" t="s">
        <v>44</v>
      </c>
      <c r="I108" s="43" t="s">
        <v>44</v>
      </c>
      <c r="J108" s="43" t="s">
        <v>44</v>
      </c>
      <c r="K108" s="48" t="s">
        <v>44</v>
      </c>
      <c r="L108" s="43" t="s">
        <v>44</v>
      </c>
      <c r="M108" s="43" t="s">
        <v>44</v>
      </c>
      <c r="N108" s="43" t="s">
        <v>44</v>
      </c>
      <c r="O108" s="48" t="s">
        <v>44</v>
      </c>
      <c r="P108" s="35" t="s">
        <v>44</v>
      </c>
      <c r="Q108" s="35" t="s">
        <v>44</v>
      </c>
      <c r="R108" s="35" t="s">
        <v>44</v>
      </c>
      <c r="S108" s="48" t="s">
        <v>44</v>
      </c>
      <c r="T108" s="43" t="s">
        <v>44</v>
      </c>
      <c r="U108" s="43" t="s">
        <v>44</v>
      </c>
      <c r="V108" s="43" t="s">
        <v>44</v>
      </c>
      <c r="W108" s="48" t="s">
        <v>44</v>
      </c>
      <c r="X108" s="43" t="s">
        <v>44</v>
      </c>
      <c r="Y108" s="43" t="s">
        <v>44</v>
      </c>
      <c r="Z108" s="43" t="s">
        <v>44</v>
      </c>
      <c r="AA108" s="48" t="s">
        <v>44</v>
      </c>
      <c r="AB108" s="36">
        <v>5</v>
      </c>
    </row>
    <row r="109" spans="1:28" ht="20" customHeight="1" x14ac:dyDescent="0.25">
      <c r="A109" s="28">
        <v>41</v>
      </c>
      <c r="B109" s="29" t="str">
        <f>'CLASSIFICA ORDINATA'!B108</f>
        <v>TeoDaniricky2000</v>
      </c>
      <c r="C109" s="53" t="s">
        <v>271</v>
      </c>
      <c r="D109" s="20" t="s">
        <v>44</v>
      </c>
      <c r="E109" s="20">
        <v>4</v>
      </c>
      <c r="F109" s="20" t="s">
        <v>44</v>
      </c>
      <c r="G109" s="47">
        <v>4</v>
      </c>
      <c r="H109" s="12" t="s">
        <v>44</v>
      </c>
      <c r="I109" s="12" t="s">
        <v>44</v>
      </c>
      <c r="J109" s="12" t="s">
        <v>44</v>
      </c>
      <c r="K109" s="47" t="s">
        <v>44</v>
      </c>
      <c r="L109" s="12" t="s">
        <v>44</v>
      </c>
      <c r="M109" s="12" t="s">
        <v>44</v>
      </c>
      <c r="N109" s="12" t="s">
        <v>44</v>
      </c>
      <c r="O109" s="47" t="s">
        <v>44</v>
      </c>
      <c r="P109" s="12" t="s">
        <v>44</v>
      </c>
      <c r="Q109" s="12" t="s">
        <v>44</v>
      </c>
      <c r="R109" s="12" t="s">
        <v>44</v>
      </c>
      <c r="S109" s="47" t="s">
        <v>44</v>
      </c>
      <c r="T109" s="12" t="s">
        <v>44</v>
      </c>
      <c r="U109" s="12" t="s">
        <v>44</v>
      </c>
      <c r="V109" s="12" t="s">
        <v>44</v>
      </c>
      <c r="W109" s="47" t="s">
        <v>44</v>
      </c>
      <c r="X109" s="12" t="s">
        <v>44</v>
      </c>
      <c r="Y109" s="12" t="s">
        <v>44</v>
      </c>
      <c r="Z109" s="12" t="s">
        <v>44</v>
      </c>
      <c r="AA109" s="47" t="s">
        <v>44</v>
      </c>
      <c r="AB109" s="24">
        <v>4</v>
      </c>
    </row>
    <row r="110" spans="1:28" ht="20" customHeight="1" x14ac:dyDescent="0.25">
      <c r="A110" s="28">
        <v>42</v>
      </c>
      <c r="B110" s="29" t="str">
        <f>'CLASSIFICA ORDINATA'!B109</f>
        <v>Dimaaa66</v>
      </c>
      <c r="C110" s="53" t="s">
        <v>317</v>
      </c>
      <c r="D110" s="12" t="s">
        <v>44</v>
      </c>
      <c r="E110" s="12">
        <v>4</v>
      </c>
      <c r="F110" s="12" t="s">
        <v>44</v>
      </c>
      <c r="G110" s="47">
        <v>4</v>
      </c>
      <c r="H110" s="12" t="s">
        <v>44</v>
      </c>
      <c r="I110" s="12" t="s">
        <v>44</v>
      </c>
      <c r="J110" s="12" t="s">
        <v>44</v>
      </c>
      <c r="K110" s="47" t="s">
        <v>44</v>
      </c>
      <c r="L110" s="20" t="s">
        <v>44</v>
      </c>
      <c r="M110" s="20" t="s">
        <v>44</v>
      </c>
      <c r="N110" s="20" t="s">
        <v>44</v>
      </c>
      <c r="O110" s="47" t="s">
        <v>44</v>
      </c>
      <c r="P110" s="12" t="s">
        <v>44</v>
      </c>
      <c r="Q110" s="12" t="s">
        <v>44</v>
      </c>
      <c r="R110" s="12" t="s">
        <v>44</v>
      </c>
      <c r="S110" s="47" t="s">
        <v>44</v>
      </c>
      <c r="T110" s="20" t="s">
        <v>44</v>
      </c>
      <c r="U110" s="20" t="s">
        <v>44</v>
      </c>
      <c r="V110" s="20" t="s">
        <v>44</v>
      </c>
      <c r="W110" s="47" t="s">
        <v>44</v>
      </c>
      <c r="X110" s="12" t="s">
        <v>44</v>
      </c>
      <c r="Y110" s="12" t="s">
        <v>44</v>
      </c>
      <c r="Z110" s="12" t="s">
        <v>44</v>
      </c>
      <c r="AA110" s="47" t="s">
        <v>44</v>
      </c>
      <c r="AB110" s="24">
        <v>4</v>
      </c>
    </row>
    <row r="111" spans="1:28" ht="20" customHeight="1" x14ac:dyDescent="0.25">
      <c r="A111" s="28">
        <v>43</v>
      </c>
      <c r="B111" s="29" t="str">
        <f>'CLASSIFICA ORDINATA'!B110</f>
        <v>Assemazz</v>
      </c>
      <c r="C111" s="53" t="s">
        <v>309</v>
      </c>
      <c r="D111" s="49" t="s">
        <v>44</v>
      </c>
      <c r="E111" s="20">
        <v>4</v>
      </c>
      <c r="F111" s="20" t="s">
        <v>44</v>
      </c>
      <c r="G111" s="47">
        <v>4</v>
      </c>
      <c r="H111" s="12" t="s">
        <v>44</v>
      </c>
      <c r="I111" s="12" t="s">
        <v>44</v>
      </c>
      <c r="J111" s="12" t="s">
        <v>44</v>
      </c>
      <c r="K111" s="47" t="s">
        <v>44</v>
      </c>
      <c r="L111" s="12" t="s">
        <v>44</v>
      </c>
      <c r="M111" s="12" t="s">
        <v>44</v>
      </c>
      <c r="N111" s="12" t="s">
        <v>44</v>
      </c>
      <c r="O111" s="47" t="s">
        <v>44</v>
      </c>
      <c r="P111" s="20" t="s">
        <v>44</v>
      </c>
      <c r="Q111" s="20" t="s">
        <v>44</v>
      </c>
      <c r="R111" s="20" t="s">
        <v>44</v>
      </c>
      <c r="S111" s="47" t="s">
        <v>44</v>
      </c>
      <c r="T111" s="20" t="s">
        <v>44</v>
      </c>
      <c r="U111" s="20" t="s">
        <v>44</v>
      </c>
      <c r="V111" s="20" t="s">
        <v>44</v>
      </c>
      <c r="W111" s="47" t="s">
        <v>44</v>
      </c>
      <c r="X111" s="20" t="s">
        <v>44</v>
      </c>
      <c r="Y111" s="20" t="s">
        <v>44</v>
      </c>
      <c r="Z111" s="20" t="s">
        <v>44</v>
      </c>
      <c r="AA111" s="47" t="s">
        <v>44</v>
      </c>
      <c r="AB111" s="24">
        <v>4</v>
      </c>
    </row>
    <row r="112" spans="1:28" ht="20" customHeight="1" x14ac:dyDescent="0.25">
      <c r="A112" s="28">
        <v>44</v>
      </c>
      <c r="B112" s="29" t="str">
        <f>'CLASSIFICA ORDINATA'!B111</f>
        <v>recidivo92</v>
      </c>
      <c r="C112" s="53" t="s">
        <v>321</v>
      </c>
      <c r="D112" s="20" t="s">
        <v>44</v>
      </c>
      <c r="E112" s="20">
        <v>4</v>
      </c>
      <c r="F112" s="20" t="s">
        <v>44</v>
      </c>
      <c r="G112" s="47">
        <v>4</v>
      </c>
      <c r="H112" s="12" t="s">
        <v>44</v>
      </c>
      <c r="I112" s="12" t="s">
        <v>44</v>
      </c>
      <c r="J112" s="12" t="s">
        <v>44</v>
      </c>
      <c r="K112" s="47" t="s">
        <v>44</v>
      </c>
      <c r="L112" s="20" t="s">
        <v>44</v>
      </c>
      <c r="M112" s="20" t="s">
        <v>44</v>
      </c>
      <c r="N112" s="20" t="s">
        <v>44</v>
      </c>
      <c r="O112" s="47" t="s">
        <v>44</v>
      </c>
      <c r="P112" s="20" t="s">
        <v>44</v>
      </c>
      <c r="Q112" s="20" t="s">
        <v>44</v>
      </c>
      <c r="R112" s="20" t="s">
        <v>44</v>
      </c>
      <c r="S112" s="47" t="s">
        <v>44</v>
      </c>
      <c r="T112" s="20" t="s">
        <v>44</v>
      </c>
      <c r="U112" s="20" t="s">
        <v>44</v>
      </c>
      <c r="V112" s="20" t="s">
        <v>44</v>
      </c>
      <c r="W112" s="47" t="s">
        <v>44</v>
      </c>
      <c r="X112" s="12" t="s">
        <v>44</v>
      </c>
      <c r="Y112" s="12" t="s">
        <v>44</v>
      </c>
      <c r="Z112" s="12" t="s">
        <v>44</v>
      </c>
      <c r="AA112" s="47" t="s">
        <v>44</v>
      </c>
      <c r="AB112" s="24">
        <v>4</v>
      </c>
    </row>
    <row r="113" spans="1:28" ht="20" customHeight="1" x14ac:dyDescent="0.25">
      <c r="A113" s="28">
        <v>45</v>
      </c>
      <c r="B113" s="29" t="str">
        <f>'CLASSIFICA ORDINATA'!B112</f>
        <v>jack-187-jack</v>
      </c>
      <c r="C113" s="53" t="s">
        <v>188</v>
      </c>
      <c r="D113" s="20" t="s">
        <v>44</v>
      </c>
      <c r="E113" s="20">
        <v>3</v>
      </c>
      <c r="F113" s="20" t="s">
        <v>44</v>
      </c>
      <c r="G113" s="47">
        <v>3</v>
      </c>
      <c r="H113" s="20" t="s">
        <v>44</v>
      </c>
      <c r="I113" s="20" t="s">
        <v>44</v>
      </c>
      <c r="J113" s="20" t="s">
        <v>44</v>
      </c>
      <c r="K113" s="47" t="s">
        <v>44</v>
      </c>
      <c r="L113" s="20" t="s">
        <v>44</v>
      </c>
      <c r="M113" s="20" t="s">
        <v>44</v>
      </c>
      <c r="N113" s="20" t="s">
        <v>44</v>
      </c>
      <c r="O113" s="47" t="s">
        <v>44</v>
      </c>
      <c r="P113" s="12" t="s">
        <v>44</v>
      </c>
      <c r="Q113" s="12" t="s">
        <v>44</v>
      </c>
      <c r="R113" s="12" t="s">
        <v>44</v>
      </c>
      <c r="S113" s="47" t="s">
        <v>44</v>
      </c>
      <c r="T113" s="20" t="s">
        <v>44</v>
      </c>
      <c r="U113" s="20" t="s">
        <v>44</v>
      </c>
      <c r="V113" s="20" t="s">
        <v>44</v>
      </c>
      <c r="W113" s="47" t="s">
        <v>44</v>
      </c>
      <c r="X113" s="12" t="s">
        <v>44</v>
      </c>
      <c r="Y113" s="12" t="s">
        <v>44</v>
      </c>
      <c r="Z113" s="12" t="s">
        <v>44</v>
      </c>
      <c r="AA113" s="47" t="s">
        <v>44</v>
      </c>
      <c r="AB113" s="24">
        <v>3</v>
      </c>
    </row>
    <row r="114" spans="1:28" ht="20" customHeight="1" x14ac:dyDescent="0.25">
      <c r="A114" s="28">
        <v>46</v>
      </c>
      <c r="B114" s="29" t="str">
        <f>'CLASSIFICA ORDINATA'!B113</f>
        <v>mirkozaffaron296</v>
      </c>
      <c r="C114" s="53" t="s">
        <v>389</v>
      </c>
      <c r="D114" s="20" t="s">
        <v>44</v>
      </c>
      <c r="E114" s="20">
        <v>3</v>
      </c>
      <c r="F114" s="20" t="s">
        <v>44</v>
      </c>
      <c r="G114" s="47">
        <v>3</v>
      </c>
      <c r="H114" s="20" t="s">
        <v>44</v>
      </c>
      <c r="I114" s="20" t="s">
        <v>44</v>
      </c>
      <c r="J114" s="20" t="s">
        <v>44</v>
      </c>
      <c r="K114" s="47" t="s">
        <v>44</v>
      </c>
      <c r="L114" s="20" t="s">
        <v>44</v>
      </c>
      <c r="M114" s="20" t="s">
        <v>44</v>
      </c>
      <c r="N114" s="20" t="s">
        <v>44</v>
      </c>
      <c r="O114" s="47" t="s">
        <v>44</v>
      </c>
      <c r="P114" s="12" t="s">
        <v>44</v>
      </c>
      <c r="Q114" s="12" t="s">
        <v>44</v>
      </c>
      <c r="R114" s="12" t="s">
        <v>44</v>
      </c>
      <c r="S114" s="47" t="s">
        <v>44</v>
      </c>
      <c r="T114" s="20" t="s">
        <v>44</v>
      </c>
      <c r="U114" s="20" t="s">
        <v>44</v>
      </c>
      <c r="V114" s="20" t="s">
        <v>44</v>
      </c>
      <c r="W114" s="47" t="s">
        <v>44</v>
      </c>
      <c r="X114" s="12" t="s">
        <v>44</v>
      </c>
      <c r="Y114" s="12" t="s">
        <v>44</v>
      </c>
      <c r="Z114" s="12" t="s">
        <v>44</v>
      </c>
      <c r="AA114" s="47" t="s">
        <v>44</v>
      </c>
      <c r="AB114" s="24">
        <v>3</v>
      </c>
    </row>
    <row r="115" spans="1:28" ht="20" customHeight="1" x14ac:dyDescent="0.25">
      <c r="A115" s="28">
        <v>47</v>
      </c>
      <c r="B115" s="29" t="str">
        <f>'CLASSIFICA ORDINATA'!B114</f>
        <v>mettiukc</v>
      </c>
      <c r="C115" s="53" t="s">
        <v>357</v>
      </c>
      <c r="D115" s="12" t="s">
        <v>44</v>
      </c>
      <c r="E115" s="12">
        <v>3</v>
      </c>
      <c r="F115" s="12" t="s">
        <v>44</v>
      </c>
      <c r="G115" s="47">
        <v>3</v>
      </c>
      <c r="H115" s="20" t="s">
        <v>44</v>
      </c>
      <c r="I115" s="20" t="s">
        <v>44</v>
      </c>
      <c r="J115" s="20" t="s">
        <v>44</v>
      </c>
      <c r="K115" s="47" t="s">
        <v>44</v>
      </c>
      <c r="L115" s="20" t="s">
        <v>44</v>
      </c>
      <c r="M115" s="20" t="s">
        <v>44</v>
      </c>
      <c r="N115" s="20" t="s">
        <v>44</v>
      </c>
      <c r="O115" s="47" t="s">
        <v>44</v>
      </c>
      <c r="P115" s="20" t="s">
        <v>44</v>
      </c>
      <c r="Q115" s="20" t="s">
        <v>44</v>
      </c>
      <c r="R115" s="20" t="s">
        <v>44</v>
      </c>
      <c r="S115" s="47" t="s">
        <v>44</v>
      </c>
      <c r="T115" s="20" t="s">
        <v>44</v>
      </c>
      <c r="U115" s="20" t="s">
        <v>44</v>
      </c>
      <c r="V115" s="20" t="s">
        <v>44</v>
      </c>
      <c r="W115" s="47" t="s">
        <v>44</v>
      </c>
      <c r="X115" s="12" t="s">
        <v>44</v>
      </c>
      <c r="Y115" s="12" t="s">
        <v>44</v>
      </c>
      <c r="Z115" s="12" t="s">
        <v>44</v>
      </c>
      <c r="AA115" s="47" t="s">
        <v>44</v>
      </c>
      <c r="AB115" s="24">
        <v>3</v>
      </c>
    </row>
    <row r="116" spans="1:28" ht="20" customHeight="1" x14ac:dyDescent="0.25">
      <c r="A116" s="28">
        <v>48</v>
      </c>
      <c r="B116" s="29" t="str">
        <f>'CLASSIFICA ORDINATA'!B115</f>
        <v>Rikas78</v>
      </c>
      <c r="C116" s="53" t="s">
        <v>394</v>
      </c>
      <c r="D116" s="12" t="s">
        <v>44</v>
      </c>
      <c r="E116" s="12">
        <v>3</v>
      </c>
      <c r="F116" s="12" t="s">
        <v>44</v>
      </c>
      <c r="G116" s="47">
        <v>3</v>
      </c>
      <c r="H116" s="12" t="s">
        <v>44</v>
      </c>
      <c r="I116" s="12" t="s">
        <v>44</v>
      </c>
      <c r="J116" s="12" t="s">
        <v>44</v>
      </c>
      <c r="K116" s="47" t="s">
        <v>44</v>
      </c>
      <c r="L116" s="12" t="s">
        <v>44</v>
      </c>
      <c r="M116" s="12" t="s">
        <v>44</v>
      </c>
      <c r="N116" s="12" t="s">
        <v>44</v>
      </c>
      <c r="O116" s="47" t="s">
        <v>44</v>
      </c>
      <c r="P116" s="12" t="s">
        <v>44</v>
      </c>
      <c r="Q116" s="12" t="s">
        <v>44</v>
      </c>
      <c r="R116" s="12" t="s">
        <v>44</v>
      </c>
      <c r="S116" s="47" t="s">
        <v>44</v>
      </c>
      <c r="T116" s="12" t="s">
        <v>44</v>
      </c>
      <c r="U116" s="12" t="s">
        <v>44</v>
      </c>
      <c r="V116" s="12" t="s">
        <v>44</v>
      </c>
      <c r="W116" s="47" t="s">
        <v>44</v>
      </c>
      <c r="X116" s="12" t="s">
        <v>44</v>
      </c>
      <c r="Y116" s="12" t="s">
        <v>44</v>
      </c>
      <c r="Z116" s="12" t="s">
        <v>44</v>
      </c>
      <c r="AA116" s="47" t="s">
        <v>44</v>
      </c>
      <c r="AB116" s="24">
        <v>3</v>
      </c>
    </row>
    <row r="117" spans="1:28" ht="20" customHeight="1" x14ac:dyDescent="0.25">
      <c r="A117" s="28">
        <v>49</v>
      </c>
      <c r="B117" s="29" t="str">
        <f>'CLASSIFICA ORDINATA'!B116</f>
        <v>Costanzo-Mirko90</v>
      </c>
      <c r="C117" s="53" t="s">
        <v>289</v>
      </c>
      <c r="D117" s="12" t="s">
        <v>44</v>
      </c>
      <c r="E117" s="12">
        <v>2</v>
      </c>
      <c r="F117" s="12" t="s">
        <v>44</v>
      </c>
      <c r="G117" s="47">
        <v>2</v>
      </c>
      <c r="H117" s="12" t="s">
        <v>44</v>
      </c>
      <c r="I117" s="12" t="s">
        <v>44</v>
      </c>
      <c r="J117" s="12" t="s">
        <v>44</v>
      </c>
      <c r="K117" s="47" t="s">
        <v>44</v>
      </c>
      <c r="L117" s="12" t="s">
        <v>44</v>
      </c>
      <c r="M117" s="12" t="s">
        <v>44</v>
      </c>
      <c r="N117" s="12" t="s">
        <v>44</v>
      </c>
      <c r="O117" s="47" t="s">
        <v>44</v>
      </c>
      <c r="P117" s="12" t="s">
        <v>44</v>
      </c>
      <c r="Q117" s="12" t="s">
        <v>44</v>
      </c>
      <c r="R117" s="12" t="s">
        <v>44</v>
      </c>
      <c r="S117" s="47" t="s">
        <v>44</v>
      </c>
      <c r="T117" s="12" t="s">
        <v>44</v>
      </c>
      <c r="U117" s="12" t="s">
        <v>44</v>
      </c>
      <c r="V117" s="12" t="s">
        <v>44</v>
      </c>
      <c r="W117" s="47" t="s">
        <v>44</v>
      </c>
      <c r="X117" s="12" t="s">
        <v>44</v>
      </c>
      <c r="Y117" s="12" t="s">
        <v>44</v>
      </c>
      <c r="Z117" s="12" t="s">
        <v>44</v>
      </c>
      <c r="AA117" s="47" t="s">
        <v>44</v>
      </c>
      <c r="AB117" s="24">
        <v>2</v>
      </c>
    </row>
    <row r="118" spans="1:28" ht="20" customHeight="1" x14ac:dyDescent="0.25">
      <c r="A118" s="28">
        <v>50</v>
      </c>
      <c r="B118" s="29" t="str">
        <f>'CLASSIFICA ORDINATA'!B117</f>
        <v>Mancinelli2002</v>
      </c>
      <c r="C118" s="53" t="s">
        <v>33</v>
      </c>
      <c r="D118" s="12" t="s">
        <v>44</v>
      </c>
      <c r="E118" s="12">
        <v>2</v>
      </c>
      <c r="F118" s="12" t="s">
        <v>44</v>
      </c>
      <c r="G118" s="47">
        <v>2</v>
      </c>
      <c r="H118" s="12" t="s">
        <v>44</v>
      </c>
      <c r="I118" s="12" t="s">
        <v>44</v>
      </c>
      <c r="J118" s="12" t="s">
        <v>44</v>
      </c>
      <c r="K118" s="47" t="s">
        <v>44</v>
      </c>
      <c r="L118" s="12" t="s">
        <v>44</v>
      </c>
      <c r="M118" s="12" t="s">
        <v>44</v>
      </c>
      <c r="N118" s="12" t="s">
        <v>44</v>
      </c>
      <c r="O118" s="47" t="s">
        <v>44</v>
      </c>
      <c r="P118" s="12" t="s">
        <v>44</v>
      </c>
      <c r="Q118" s="12" t="s">
        <v>44</v>
      </c>
      <c r="R118" s="12" t="s">
        <v>44</v>
      </c>
      <c r="S118" s="47" t="s">
        <v>44</v>
      </c>
      <c r="T118" s="12" t="s">
        <v>44</v>
      </c>
      <c r="U118" s="12" t="s">
        <v>44</v>
      </c>
      <c r="V118" s="12" t="s">
        <v>44</v>
      </c>
      <c r="W118" s="47" t="s">
        <v>44</v>
      </c>
      <c r="X118" s="12" t="s">
        <v>44</v>
      </c>
      <c r="Y118" s="12" t="s">
        <v>44</v>
      </c>
      <c r="Z118" s="12" t="s">
        <v>44</v>
      </c>
      <c r="AA118" s="47" t="s">
        <v>44</v>
      </c>
      <c r="AB118" s="24">
        <v>2</v>
      </c>
    </row>
    <row r="119" spans="1:28" ht="20" customHeight="1" x14ac:dyDescent="0.25">
      <c r="A119" s="28">
        <v>51</v>
      </c>
      <c r="B119" s="29" t="str">
        <f>'CLASSIFICA ORDINATA'!B118</f>
        <v>TLM_Verce90</v>
      </c>
      <c r="C119" s="53" t="s">
        <v>163</v>
      </c>
      <c r="D119" s="12" t="s">
        <v>44</v>
      </c>
      <c r="E119" s="12" t="s">
        <v>44</v>
      </c>
      <c r="F119" s="12" t="s">
        <v>44</v>
      </c>
      <c r="G119" s="47" t="s">
        <v>44</v>
      </c>
      <c r="H119" s="12" t="s">
        <v>44</v>
      </c>
      <c r="I119" s="12" t="s">
        <v>44</v>
      </c>
      <c r="J119" s="12" t="s">
        <v>44</v>
      </c>
      <c r="K119" s="47" t="s">
        <v>44</v>
      </c>
      <c r="L119" s="12" t="s">
        <v>44</v>
      </c>
      <c r="M119" s="12" t="s">
        <v>44</v>
      </c>
      <c r="N119" s="12" t="s">
        <v>44</v>
      </c>
      <c r="O119" s="47" t="s">
        <v>44</v>
      </c>
      <c r="P119" s="49" t="s">
        <v>44</v>
      </c>
      <c r="Q119" s="20" t="s">
        <v>44</v>
      </c>
      <c r="R119" s="20" t="s">
        <v>44</v>
      </c>
      <c r="S119" s="47" t="s">
        <v>44</v>
      </c>
      <c r="T119" s="12" t="s">
        <v>44</v>
      </c>
      <c r="U119" s="12" t="s">
        <v>44</v>
      </c>
      <c r="V119" s="12" t="s">
        <v>44</v>
      </c>
      <c r="W119" s="47" t="s">
        <v>44</v>
      </c>
      <c r="X119" s="12" t="s">
        <v>44</v>
      </c>
      <c r="Y119" s="12" t="s">
        <v>44</v>
      </c>
      <c r="Z119" s="12" t="s">
        <v>44</v>
      </c>
      <c r="AA119" s="47" t="s">
        <v>44</v>
      </c>
      <c r="AB119" s="24" t="s">
        <v>44</v>
      </c>
    </row>
    <row r="120" spans="1:28" ht="20" customHeight="1" x14ac:dyDescent="0.25">
      <c r="A120" s="28">
        <v>52</v>
      </c>
      <c r="B120" s="29" t="str">
        <f>'CLASSIFICA ORDINATA'!B119</f>
        <v>TLM_CaLiGoLa</v>
      </c>
      <c r="C120" s="53" t="s">
        <v>235</v>
      </c>
      <c r="D120" s="12" t="s">
        <v>44</v>
      </c>
      <c r="E120" s="12" t="s">
        <v>44</v>
      </c>
      <c r="F120" s="12" t="s">
        <v>44</v>
      </c>
      <c r="G120" s="47" t="s">
        <v>44</v>
      </c>
      <c r="H120" s="12" t="s">
        <v>44</v>
      </c>
      <c r="I120" s="12" t="s">
        <v>44</v>
      </c>
      <c r="J120" s="12" t="s">
        <v>44</v>
      </c>
      <c r="K120" s="47" t="s">
        <v>44</v>
      </c>
      <c r="L120" s="12" t="s">
        <v>44</v>
      </c>
      <c r="M120" s="12" t="s">
        <v>44</v>
      </c>
      <c r="N120" s="12" t="s">
        <v>44</v>
      </c>
      <c r="O120" s="47" t="s">
        <v>44</v>
      </c>
      <c r="P120" s="12" t="s">
        <v>44</v>
      </c>
      <c r="Q120" s="12" t="s">
        <v>44</v>
      </c>
      <c r="R120" s="12" t="s">
        <v>44</v>
      </c>
      <c r="S120" s="47" t="s">
        <v>44</v>
      </c>
      <c r="T120" s="12" t="s">
        <v>44</v>
      </c>
      <c r="U120" s="12" t="s">
        <v>44</v>
      </c>
      <c r="V120" s="12" t="s">
        <v>44</v>
      </c>
      <c r="W120" s="47" t="s">
        <v>44</v>
      </c>
      <c r="X120" s="12" t="s">
        <v>44</v>
      </c>
      <c r="Y120" s="12" t="s">
        <v>44</v>
      </c>
      <c r="Z120" s="12" t="s">
        <v>44</v>
      </c>
      <c r="AA120" s="47" t="s">
        <v>44</v>
      </c>
      <c r="AB120" s="24" t="s">
        <v>44</v>
      </c>
    </row>
    <row r="121" spans="1:28" ht="20" customHeight="1" x14ac:dyDescent="0.25">
      <c r="A121" s="28">
        <v>53</v>
      </c>
      <c r="B121" s="29" t="str">
        <f>'CLASSIFICA ORDINATA'!B120</f>
        <v>Isnotacrime</v>
      </c>
      <c r="C121" s="53" t="s">
        <v>196</v>
      </c>
      <c r="D121" s="33" t="s">
        <v>44</v>
      </c>
      <c r="E121" s="33" t="s">
        <v>44</v>
      </c>
      <c r="F121" s="33" t="s">
        <v>44</v>
      </c>
      <c r="G121" s="51" t="s">
        <v>44</v>
      </c>
      <c r="H121" s="33" t="s">
        <v>44</v>
      </c>
      <c r="I121" s="33" t="s">
        <v>44</v>
      </c>
      <c r="J121" s="33" t="s">
        <v>44</v>
      </c>
      <c r="K121" s="51" t="s">
        <v>44</v>
      </c>
      <c r="L121" s="32" t="s">
        <v>44</v>
      </c>
      <c r="M121" s="32" t="s">
        <v>44</v>
      </c>
      <c r="N121" s="32" t="s">
        <v>44</v>
      </c>
      <c r="O121" s="51" t="s">
        <v>44</v>
      </c>
      <c r="P121" s="33" t="s">
        <v>44</v>
      </c>
      <c r="Q121" s="33" t="s">
        <v>44</v>
      </c>
      <c r="R121" s="33" t="s">
        <v>44</v>
      </c>
      <c r="S121" s="51" t="s">
        <v>44</v>
      </c>
      <c r="T121" s="33" t="s">
        <v>44</v>
      </c>
      <c r="U121" s="33" t="s">
        <v>44</v>
      </c>
      <c r="V121" s="33" t="s">
        <v>44</v>
      </c>
      <c r="W121" s="51" t="s">
        <v>44</v>
      </c>
      <c r="X121" s="33" t="s">
        <v>44</v>
      </c>
      <c r="Y121" s="33" t="s">
        <v>44</v>
      </c>
      <c r="Z121" s="33" t="s">
        <v>44</v>
      </c>
      <c r="AA121" s="51" t="s">
        <v>44</v>
      </c>
      <c r="AB121" s="34" t="s">
        <v>44</v>
      </c>
    </row>
    <row r="122" spans="1:28" ht="20" customHeight="1" x14ac:dyDescent="0.25">
      <c r="A122" s="28">
        <v>54</v>
      </c>
      <c r="B122" s="29" t="str">
        <f>'CLASSIFICA ORDINATA'!B121</f>
        <v>Monster_Nova_RS</v>
      </c>
      <c r="C122" s="53" t="s">
        <v>137</v>
      </c>
      <c r="D122" s="12" t="s">
        <v>44</v>
      </c>
      <c r="E122" s="12">
        <v>0</v>
      </c>
      <c r="F122" s="12" t="s">
        <v>44</v>
      </c>
      <c r="G122" s="47" t="s">
        <v>44</v>
      </c>
      <c r="H122" s="12" t="s">
        <v>44</v>
      </c>
      <c r="I122" s="12" t="s">
        <v>44</v>
      </c>
      <c r="J122" s="12" t="s">
        <v>44</v>
      </c>
      <c r="K122" s="47" t="s">
        <v>44</v>
      </c>
      <c r="L122" s="12" t="s">
        <v>44</v>
      </c>
      <c r="M122" s="12" t="s">
        <v>44</v>
      </c>
      <c r="N122" s="12" t="s">
        <v>44</v>
      </c>
      <c r="O122" s="47" t="s">
        <v>44</v>
      </c>
      <c r="P122" s="12" t="s">
        <v>44</v>
      </c>
      <c r="Q122" s="12" t="s">
        <v>44</v>
      </c>
      <c r="R122" s="12" t="s">
        <v>44</v>
      </c>
      <c r="S122" s="47" t="s">
        <v>44</v>
      </c>
      <c r="T122" s="12" t="s">
        <v>44</v>
      </c>
      <c r="U122" s="12" t="s">
        <v>44</v>
      </c>
      <c r="V122" s="12" t="s">
        <v>44</v>
      </c>
      <c r="W122" s="47" t="s">
        <v>44</v>
      </c>
      <c r="X122" s="12" t="s">
        <v>44</v>
      </c>
      <c r="Y122" s="12" t="s">
        <v>44</v>
      </c>
      <c r="Z122" s="12" t="s">
        <v>44</v>
      </c>
      <c r="AA122" s="47" t="s">
        <v>44</v>
      </c>
      <c r="AB122" s="24">
        <v>0</v>
      </c>
    </row>
    <row r="123" spans="1:28" ht="20" customHeight="1" x14ac:dyDescent="0.25">
      <c r="A123" s="28">
        <v>55</v>
      </c>
      <c r="B123" s="29" t="str">
        <f>'CLASSIFICA ORDINATA'!B122</f>
        <v>Miciona75</v>
      </c>
      <c r="C123" s="53" t="s">
        <v>121</v>
      </c>
      <c r="D123" s="43" t="s">
        <v>44</v>
      </c>
      <c r="E123" s="43" t="s">
        <v>44</v>
      </c>
      <c r="F123" s="43" t="s">
        <v>44</v>
      </c>
      <c r="G123" s="48" t="s">
        <v>44</v>
      </c>
      <c r="H123" s="43" t="s">
        <v>44</v>
      </c>
      <c r="I123" s="43" t="s">
        <v>44</v>
      </c>
      <c r="J123" s="43" t="s">
        <v>44</v>
      </c>
      <c r="K123" s="48" t="s">
        <v>44</v>
      </c>
      <c r="L123" s="43" t="s">
        <v>44</v>
      </c>
      <c r="M123" s="43" t="s">
        <v>44</v>
      </c>
      <c r="N123" s="43" t="s">
        <v>44</v>
      </c>
      <c r="O123" s="48" t="s">
        <v>44</v>
      </c>
      <c r="P123" s="35" t="s">
        <v>44</v>
      </c>
      <c r="Q123" s="35" t="s">
        <v>44</v>
      </c>
      <c r="R123" s="35" t="s">
        <v>44</v>
      </c>
      <c r="S123" s="48" t="s">
        <v>44</v>
      </c>
      <c r="T123" s="43" t="s">
        <v>44</v>
      </c>
      <c r="U123" s="43" t="s">
        <v>44</v>
      </c>
      <c r="V123" s="43" t="s">
        <v>44</v>
      </c>
      <c r="W123" s="48" t="s">
        <v>44</v>
      </c>
      <c r="X123" s="43" t="s">
        <v>44</v>
      </c>
      <c r="Y123" s="43" t="s">
        <v>44</v>
      </c>
      <c r="Z123" s="43" t="s">
        <v>44</v>
      </c>
      <c r="AA123" s="48" t="s">
        <v>44</v>
      </c>
      <c r="AB123" s="36" t="s">
        <v>44</v>
      </c>
    </row>
    <row r="124" spans="1:28" ht="20" customHeight="1" x14ac:dyDescent="0.25">
      <c r="A124" s="28">
        <v>56</v>
      </c>
      <c r="B124" s="29" t="str">
        <f>'CLASSIFICA ORDINATA'!B123</f>
        <v>Patanel86</v>
      </c>
      <c r="C124" s="53" t="s">
        <v>294</v>
      </c>
      <c r="D124" s="20" t="s">
        <v>44</v>
      </c>
      <c r="E124" s="20" t="s">
        <v>44</v>
      </c>
      <c r="F124" s="20" t="s">
        <v>44</v>
      </c>
      <c r="G124" s="47" t="s">
        <v>44</v>
      </c>
      <c r="H124" s="12" t="s">
        <v>44</v>
      </c>
      <c r="I124" s="12" t="s">
        <v>44</v>
      </c>
      <c r="J124" s="12" t="s">
        <v>44</v>
      </c>
      <c r="K124" s="47" t="s">
        <v>44</v>
      </c>
      <c r="L124" s="12" t="s">
        <v>44</v>
      </c>
      <c r="M124" s="12" t="s">
        <v>44</v>
      </c>
      <c r="N124" s="12" t="s">
        <v>44</v>
      </c>
      <c r="O124" s="47" t="s">
        <v>44</v>
      </c>
      <c r="P124" s="12" t="s">
        <v>44</v>
      </c>
      <c r="Q124" s="12" t="s">
        <v>44</v>
      </c>
      <c r="R124" s="12" t="s">
        <v>44</v>
      </c>
      <c r="S124" s="47" t="s">
        <v>44</v>
      </c>
      <c r="T124" s="12" t="s">
        <v>44</v>
      </c>
      <c r="U124" s="12" t="s">
        <v>44</v>
      </c>
      <c r="V124" s="12" t="s">
        <v>44</v>
      </c>
      <c r="W124" s="47" t="s">
        <v>44</v>
      </c>
      <c r="X124" s="12" t="s">
        <v>44</v>
      </c>
      <c r="Y124" s="12" t="s">
        <v>44</v>
      </c>
      <c r="Z124" s="12" t="s">
        <v>44</v>
      </c>
      <c r="AA124" s="47" t="s">
        <v>44</v>
      </c>
      <c r="AB124" s="24" t="s">
        <v>44</v>
      </c>
    </row>
  </sheetData>
  <mergeCells count="24">
    <mergeCell ref="X3:AA3"/>
    <mergeCell ref="AB3:AB4"/>
    <mergeCell ref="B3:B4"/>
    <mergeCell ref="D3:G3"/>
    <mergeCell ref="H3:K3"/>
    <mergeCell ref="L3:O3"/>
    <mergeCell ref="P3:S3"/>
    <mergeCell ref="C3:C4"/>
    <mergeCell ref="A67:C67"/>
    <mergeCell ref="A2:AB2"/>
    <mergeCell ref="A1:AB1"/>
    <mergeCell ref="H67:K67"/>
    <mergeCell ref="L67:O67"/>
    <mergeCell ref="P67:S67"/>
    <mergeCell ref="T67:W67"/>
    <mergeCell ref="X67:AA67"/>
    <mergeCell ref="AB67:AB68"/>
    <mergeCell ref="A5:B5"/>
    <mergeCell ref="A20:B20"/>
    <mergeCell ref="A35:B35"/>
    <mergeCell ref="A50:B50"/>
    <mergeCell ref="D67:G67"/>
    <mergeCell ref="A3:A4"/>
    <mergeCell ref="T3:W3"/>
  </mergeCells>
  <pageMargins left="1" right="1" top="1" bottom="1" header="0.5" footer="0.5"/>
  <pageSetup paperSize="9" scale="57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workbookViewId="0">
      <selection activeCell="D13" sqref="D13"/>
    </sheetView>
  </sheetViews>
  <sheetFormatPr baseColWidth="10" defaultRowHeight="15" x14ac:dyDescent="0.2"/>
  <cols>
    <col min="1" max="1" width="6" bestFit="1" customWidth="1"/>
    <col min="2" max="2" width="17.6640625" bestFit="1" customWidth="1"/>
    <col min="3" max="3" width="17.83203125" bestFit="1" customWidth="1"/>
    <col min="5" max="5" width="6" bestFit="1" customWidth="1"/>
    <col min="6" max="6" width="18.33203125" bestFit="1" customWidth="1"/>
    <col min="7" max="7" width="16.83203125" bestFit="1" customWidth="1"/>
  </cols>
  <sheetData>
    <row r="1" spans="1:7" x14ac:dyDescent="0.2">
      <c r="A1" s="111" t="s">
        <v>409</v>
      </c>
      <c r="B1" s="111"/>
      <c r="C1" s="111"/>
      <c r="D1" s="111"/>
      <c r="E1" s="111"/>
      <c r="F1" s="111"/>
      <c r="G1" s="111"/>
    </row>
    <row r="2" spans="1:7" x14ac:dyDescent="0.2">
      <c r="A2" s="111" t="s">
        <v>410</v>
      </c>
      <c r="B2" s="111"/>
      <c r="C2" s="111"/>
      <c r="D2" s="111"/>
      <c r="E2" s="111"/>
      <c r="F2" s="111"/>
      <c r="G2" s="111"/>
    </row>
    <row r="3" spans="1:7" ht="19" x14ac:dyDescent="0.25">
      <c r="A3" s="113" t="s">
        <v>403</v>
      </c>
      <c r="B3" s="114"/>
      <c r="C3" s="115"/>
      <c r="D3" s="80"/>
      <c r="E3" s="113" t="s">
        <v>403</v>
      </c>
      <c r="F3" s="114"/>
      <c r="G3" s="115"/>
    </row>
    <row r="4" spans="1:7" ht="19" x14ac:dyDescent="0.25">
      <c r="A4" s="81" t="s">
        <v>401</v>
      </c>
      <c r="B4" s="112" t="s">
        <v>59</v>
      </c>
      <c r="C4" s="112"/>
      <c r="D4" s="80"/>
      <c r="E4" s="81" t="s">
        <v>401</v>
      </c>
      <c r="F4" s="112" t="s">
        <v>73</v>
      </c>
      <c r="G4" s="112"/>
    </row>
    <row r="5" spans="1:7" ht="21" x14ac:dyDescent="0.25">
      <c r="A5" s="120" t="s">
        <v>400</v>
      </c>
      <c r="B5" s="120"/>
      <c r="C5" s="120"/>
      <c r="D5" s="80"/>
      <c r="E5" s="118" t="s">
        <v>412</v>
      </c>
      <c r="F5" s="119"/>
      <c r="G5" s="119"/>
    </row>
    <row r="6" spans="1:7" ht="19" x14ac:dyDescent="0.25">
      <c r="A6" s="82" t="s">
        <v>2</v>
      </c>
      <c r="B6" s="83" t="s">
        <v>62</v>
      </c>
      <c r="C6" s="83" t="s">
        <v>62</v>
      </c>
      <c r="D6" s="80"/>
      <c r="E6" s="82" t="s">
        <v>2</v>
      </c>
      <c r="F6" s="83" t="s">
        <v>73</v>
      </c>
      <c r="G6" s="83" t="s">
        <v>387</v>
      </c>
    </row>
    <row r="7" spans="1:7" ht="19" x14ac:dyDescent="0.25">
      <c r="A7" s="84" t="s">
        <v>3</v>
      </c>
      <c r="B7" s="83" t="s">
        <v>32</v>
      </c>
      <c r="C7" s="83" t="s">
        <v>32</v>
      </c>
      <c r="D7" s="80"/>
      <c r="E7" s="85" t="s">
        <v>3</v>
      </c>
      <c r="F7" s="83" t="s">
        <v>69</v>
      </c>
      <c r="G7" s="83" t="s">
        <v>231</v>
      </c>
    </row>
    <row r="8" spans="1:7" ht="19" x14ac:dyDescent="0.25">
      <c r="A8" s="85" t="s">
        <v>4</v>
      </c>
      <c r="B8" s="83" t="s">
        <v>55</v>
      </c>
      <c r="C8" s="83" t="s">
        <v>367</v>
      </c>
      <c r="D8" s="80"/>
      <c r="E8" s="86" t="s">
        <v>4</v>
      </c>
      <c r="F8" s="83" t="s">
        <v>71</v>
      </c>
      <c r="G8" s="83" t="s">
        <v>329</v>
      </c>
    </row>
    <row r="9" spans="1:7" ht="19" x14ac:dyDescent="0.25">
      <c r="A9" s="86" t="s">
        <v>5</v>
      </c>
      <c r="B9" s="83" t="s">
        <v>61</v>
      </c>
      <c r="C9" s="83" t="s">
        <v>116</v>
      </c>
      <c r="D9" s="80"/>
      <c r="E9" s="86" t="s">
        <v>5</v>
      </c>
      <c r="F9" s="83" t="s">
        <v>373</v>
      </c>
      <c r="G9" s="83" t="s">
        <v>374</v>
      </c>
    </row>
    <row r="10" spans="1:7" ht="19" x14ac:dyDescent="0.25">
      <c r="A10" s="86" t="s">
        <v>6</v>
      </c>
      <c r="B10" s="83" t="s">
        <v>53</v>
      </c>
      <c r="C10" s="83" t="s">
        <v>386</v>
      </c>
      <c r="D10" s="80"/>
      <c r="E10" s="86" t="s">
        <v>6</v>
      </c>
      <c r="F10" s="83" t="s">
        <v>72</v>
      </c>
      <c r="G10" s="83" t="s">
        <v>408</v>
      </c>
    </row>
    <row r="11" spans="1:7" ht="19" x14ac:dyDescent="0.25">
      <c r="A11" s="86" t="s">
        <v>7</v>
      </c>
      <c r="B11" s="83" t="s">
        <v>57</v>
      </c>
      <c r="C11" s="83" t="s">
        <v>110</v>
      </c>
      <c r="D11" s="80"/>
      <c r="E11" s="86" t="s">
        <v>7</v>
      </c>
      <c r="F11" s="83" t="s">
        <v>388</v>
      </c>
      <c r="G11" s="83" t="s">
        <v>299</v>
      </c>
    </row>
    <row r="12" spans="1:7" ht="19" x14ac:dyDescent="0.25">
      <c r="A12" s="86" t="s">
        <v>8</v>
      </c>
      <c r="B12" s="83" t="s">
        <v>58</v>
      </c>
      <c r="C12" s="83" t="s">
        <v>303</v>
      </c>
      <c r="D12" s="80"/>
      <c r="E12" s="86" t="s">
        <v>8</v>
      </c>
      <c r="F12" s="83" t="s">
        <v>65</v>
      </c>
      <c r="G12" s="83" t="s">
        <v>65</v>
      </c>
    </row>
    <row r="13" spans="1:7" ht="19" x14ac:dyDescent="0.25">
      <c r="A13" s="86" t="s">
        <v>9</v>
      </c>
      <c r="B13" s="87" t="s">
        <v>64</v>
      </c>
      <c r="C13" s="83" t="s">
        <v>157</v>
      </c>
      <c r="D13" s="80"/>
      <c r="E13" s="86" t="s">
        <v>9</v>
      </c>
      <c r="F13" s="87" t="s">
        <v>70</v>
      </c>
      <c r="G13" s="83" t="s">
        <v>284</v>
      </c>
    </row>
    <row r="14" spans="1:7" ht="19" x14ac:dyDescent="0.25">
      <c r="A14" s="86" t="s">
        <v>10</v>
      </c>
      <c r="B14" s="83" t="s">
        <v>63</v>
      </c>
      <c r="C14" s="83" t="s">
        <v>63</v>
      </c>
      <c r="D14" s="80"/>
      <c r="E14" s="86" t="s">
        <v>10</v>
      </c>
      <c r="F14" s="83" t="s">
        <v>91</v>
      </c>
      <c r="G14" s="83" t="s">
        <v>313</v>
      </c>
    </row>
    <row r="15" spans="1:7" ht="19" x14ac:dyDescent="0.25">
      <c r="A15" s="86" t="s">
        <v>11</v>
      </c>
      <c r="B15" s="83" t="s">
        <v>52</v>
      </c>
      <c r="C15" s="83" t="s">
        <v>201</v>
      </c>
      <c r="D15" s="80"/>
      <c r="E15" s="86" t="s">
        <v>11</v>
      </c>
      <c r="F15" s="83" t="s">
        <v>38</v>
      </c>
      <c r="G15" s="83" t="s">
        <v>276</v>
      </c>
    </row>
    <row r="16" spans="1:7" ht="19" x14ac:dyDescent="0.25">
      <c r="A16" s="86" t="s">
        <v>12</v>
      </c>
      <c r="B16" s="83" t="s">
        <v>60</v>
      </c>
      <c r="C16" s="83" t="s">
        <v>60</v>
      </c>
      <c r="D16" s="80"/>
      <c r="E16" s="86" t="s">
        <v>12</v>
      </c>
      <c r="F16" s="83" t="s">
        <v>74</v>
      </c>
      <c r="G16" s="83" t="s">
        <v>317</v>
      </c>
    </row>
    <row r="17" spans="1:7" ht="19" x14ac:dyDescent="0.25">
      <c r="A17" s="86" t="s">
        <v>13</v>
      </c>
      <c r="B17" s="83" t="s">
        <v>59</v>
      </c>
      <c r="C17" s="83" t="s">
        <v>188</v>
      </c>
      <c r="D17" s="80"/>
      <c r="E17" s="86" t="s">
        <v>13</v>
      </c>
      <c r="F17" s="83" t="s">
        <v>67</v>
      </c>
      <c r="G17" s="83" t="s">
        <v>389</v>
      </c>
    </row>
    <row r="18" spans="1:7" ht="19" x14ac:dyDescent="0.25">
      <c r="A18" s="86" t="s">
        <v>20</v>
      </c>
      <c r="B18" s="83" t="s">
        <v>54</v>
      </c>
      <c r="C18" s="83" t="s">
        <v>163</v>
      </c>
      <c r="D18" s="80"/>
      <c r="E18" s="86" t="s">
        <v>20</v>
      </c>
      <c r="F18" s="83" t="s">
        <v>66</v>
      </c>
      <c r="G18" s="83" t="s">
        <v>289</v>
      </c>
    </row>
    <row r="19" spans="1:7" ht="19" x14ac:dyDescent="0.25">
      <c r="A19" s="86" t="s">
        <v>21</v>
      </c>
      <c r="B19" s="83" t="s">
        <v>56</v>
      </c>
      <c r="C19" s="83" t="s">
        <v>235</v>
      </c>
      <c r="D19" s="80"/>
      <c r="E19" s="86" t="s">
        <v>21</v>
      </c>
      <c r="F19" s="83"/>
      <c r="G19" s="83"/>
    </row>
    <row r="20" spans="1:7" ht="19" x14ac:dyDescent="0.25">
      <c r="A20" s="80"/>
      <c r="B20" s="80"/>
      <c r="C20" s="80"/>
      <c r="D20" s="80"/>
      <c r="E20" s="80"/>
      <c r="F20" s="80"/>
      <c r="G20" s="80"/>
    </row>
    <row r="21" spans="1:7" ht="19" x14ac:dyDescent="0.25">
      <c r="A21" s="112" t="s">
        <v>404</v>
      </c>
      <c r="B21" s="112"/>
      <c r="C21" s="112" t="s">
        <v>405</v>
      </c>
      <c r="D21" s="112"/>
      <c r="E21" s="112"/>
      <c r="F21" s="112"/>
      <c r="G21" s="112"/>
    </row>
    <row r="22" spans="1:7" ht="19" x14ac:dyDescent="0.25">
      <c r="A22" s="112" t="s">
        <v>407</v>
      </c>
      <c r="B22" s="112"/>
      <c r="C22" s="112" t="s">
        <v>406</v>
      </c>
      <c r="D22" s="112"/>
      <c r="E22" s="112"/>
      <c r="F22" s="112"/>
      <c r="G22" s="112"/>
    </row>
    <row r="23" spans="1:7" ht="19" x14ac:dyDescent="0.25">
      <c r="A23" s="80"/>
      <c r="B23" s="80"/>
      <c r="C23" s="80"/>
      <c r="D23" s="80"/>
      <c r="E23" s="80"/>
      <c r="F23" s="80"/>
      <c r="G23" s="80"/>
    </row>
    <row r="24" spans="1:7" ht="19" x14ac:dyDescent="0.25">
      <c r="A24" s="113" t="s">
        <v>402</v>
      </c>
      <c r="B24" s="114"/>
      <c r="C24" s="115"/>
      <c r="D24" s="80"/>
      <c r="E24" s="113" t="s">
        <v>403</v>
      </c>
      <c r="F24" s="114"/>
      <c r="G24" s="115"/>
    </row>
    <row r="25" spans="1:7" ht="19" x14ac:dyDescent="0.25">
      <c r="A25" s="81" t="s">
        <v>401</v>
      </c>
      <c r="B25" s="112" t="s">
        <v>82</v>
      </c>
      <c r="C25" s="112"/>
      <c r="D25" s="80"/>
      <c r="E25" s="81" t="s">
        <v>401</v>
      </c>
      <c r="F25" s="112" t="s">
        <v>85</v>
      </c>
      <c r="G25" s="112"/>
    </row>
    <row r="26" spans="1:7" ht="21" x14ac:dyDescent="0.25">
      <c r="A26" s="116" t="s">
        <v>399</v>
      </c>
      <c r="B26" s="117"/>
      <c r="C26" s="117"/>
      <c r="D26" s="80"/>
      <c r="E26" s="116" t="s">
        <v>411</v>
      </c>
      <c r="F26" s="117"/>
      <c r="G26" s="117"/>
    </row>
    <row r="27" spans="1:7" ht="19" x14ac:dyDescent="0.25">
      <c r="A27" s="82" t="s">
        <v>2</v>
      </c>
      <c r="B27" s="83" t="s">
        <v>81</v>
      </c>
      <c r="C27" s="83" t="s">
        <v>262</v>
      </c>
      <c r="D27" s="80"/>
      <c r="E27" s="82" t="s">
        <v>2</v>
      </c>
      <c r="F27" s="83" t="s">
        <v>413</v>
      </c>
      <c r="G27" s="83" t="s">
        <v>392</v>
      </c>
    </row>
    <row r="28" spans="1:7" ht="19" x14ac:dyDescent="0.25">
      <c r="A28" s="84" t="s">
        <v>3</v>
      </c>
      <c r="B28" s="83" t="s">
        <v>79</v>
      </c>
      <c r="C28" s="83" t="s">
        <v>104</v>
      </c>
      <c r="D28" s="80"/>
      <c r="E28" s="85" t="s">
        <v>3</v>
      </c>
      <c r="F28" s="83" t="s">
        <v>87</v>
      </c>
      <c r="G28" s="83" t="s">
        <v>393</v>
      </c>
    </row>
    <row r="29" spans="1:7" ht="19" x14ac:dyDescent="0.25">
      <c r="A29" s="85" t="s">
        <v>4</v>
      </c>
      <c r="B29" s="83" t="s">
        <v>82</v>
      </c>
      <c r="C29" s="83" t="s">
        <v>82</v>
      </c>
      <c r="D29" s="80"/>
      <c r="E29" s="86" t="s">
        <v>4</v>
      </c>
      <c r="F29" s="83" t="s">
        <v>89</v>
      </c>
      <c r="G29" s="83" t="s">
        <v>240</v>
      </c>
    </row>
    <row r="30" spans="1:7" ht="19" x14ac:dyDescent="0.25">
      <c r="A30" s="86" t="s">
        <v>5</v>
      </c>
      <c r="B30" s="83" t="s">
        <v>75</v>
      </c>
      <c r="C30" s="83" t="s">
        <v>168</v>
      </c>
      <c r="D30" s="80"/>
      <c r="E30" s="86" t="s">
        <v>5</v>
      </c>
      <c r="F30" s="83" t="s">
        <v>141</v>
      </c>
      <c r="G30" s="83" t="s">
        <v>142</v>
      </c>
    </row>
    <row r="31" spans="1:7" ht="19" x14ac:dyDescent="0.25">
      <c r="A31" s="86" t="s">
        <v>6</v>
      </c>
      <c r="B31" s="83" t="s">
        <v>80</v>
      </c>
      <c r="C31" s="83" t="s">
        <v>245</v>
      </c>
      <c r="D31" s="80"/>
      <c r="E31" s="86" t="s">
        <v>6</v>
      </c>
      <c r="F31" s="83" t="s">
        <v>85</v>
      </c>
      <c r="G31" s="83" t="s">
        <v>397</v>
      </c>
    </row>
    <row r="32" spans="1:7" ht="19" x14ac:dyDescent="0.25">
      <c r="A32" s="86" t="s">
        <v>7</v>
      </c>
      <c r="B32" s="83" t="s">
        <v>83</v>
      </c>
      <c r="C32" s="83" t="s">
        <v>206</v>
      </c>
      <c r="D32" s="80"/>
      <c r="E32" s="86" t="s">
        <v>7</v>
      </c>
      <c r="F32" s="83" t="s">
        <v>173</v>
      </c>
      <c r="G32" s="83" t="s">
        <v>174</v>
      </c>
    </row>
    <row r="33" spans="1:7" ht="19" x14ac:dyDescent="0.25">
      <c r="A33" s="86" t="s">
        <v>8</v>
      </c>
      <c r="B33" s="83" t="s">
        <v>77</v>
      </c>
      <c r="C33" s="83" t="s">
        <v>225</v>
      </c>
      <c r="D33" s="80"/>
      <c r="E33" s="86" t="s">
        <v>8</v>
      </c>
      <c r="F33" s="83" t="s">
        <v>93</v>
      </c>
      <c r="G33" s="83" t="s">
        <v>37</v>
      </c>
    </row>
    <row r="34" spans="1:7" ht="19" x14ac:dyDescent="0.25">
      <c r="A34" s="86" t="s">
        <v>9</v>
      </c>
      <c r="B34" s="87" t="s">
        <v>76</v>
      </c>
      <c r="C34" s="83" t="s">
        <v>210</v>
      </c>
      <c r="D34" s="80"/>
      <c r="E34" s="86" t="s">
        <v>9</v>
      </c>
      <c r="F34" s="87" t="s">
        <v>92</v>
      </c>
      <c r="G34" s="83" t="s">
        <v>335</v>
      </c>
    </row>
    <row r="35" spans="1:7" ht="19" x14ac:dyDescent="0.25">
      <c r="A35" s="86" t="s">
        <v>10</v>
      </c>
      <c r="B35" s="83" t="s">
        <v>346</v>
      </c>
      <c r="C35" s="83" t="s">
        <v>347</v>
      </c>
      <c r="D35" s="80"/>
      <c r="E35" s="86" t="s">
        <v>10</v>
      </c>
      <c r="F35" s="83" t="s">
        <v>90</v>
      </c>
      <c r="G35" s="83" t="s">
        <v>90</v>
      </c>
    </row>
    <row r="36" spans="1:7" ht="19" x14ac:dyDescent="0.25">
      <c r="A36" s="86" t="s">
        <v>11</v>
      </c>
      <c r="B36" s="83" t="s">
        <v>36</v>
      </c>
      <c r="C36" s="83" t="s">
        <v>36</v>
      </c>
      <c r="D36" s="80"/>
      <c r="E36" s="86" t="s">
        <v>11</v>
      </c>
      <c r="F36" s="83" t="s">
        <v>94</v>
      </c>
      <c r="G36" s="83" t="s">
        <v>94</v>
      </c>
    </row>
    <row r="37" spans="1:7" ht="19" x14ac:dyDescent="0.25">
      <c r="A37" s="86" t="s">
        <v>12</v>
      </c>
      <c r="B37" s="83" t="s">
        <v>308</v>
      </c>
      <c r="C37" s="83" t="s">
        <v>309</v>
      </c>
      <c r="D37" s="80"/>
      <c r="E37" s="86" t="s">
        <v>12</v>
      </c>
      <c r="F37" s="83" t="s">
        <v>88</v>
      </c>
      <c r="G37" s="83" t="s">
        <v>321</v>
      </c>
    </row>
    <row r="38" spans="1:7" ht="19" x14ac:dyDescent="0.25">
      <c r="A38" s="86" t="s">
        <v>13</v>
      </c>
      <c r="B38" s="83" t="s">
        <v>78</v>
      </c>
      <c r="C38" s="83" t="s">
        <v>357</v>
      </c>
      <c r="D38" s="80"/>
      <c r="E38" s="86" t="s">
        <v>13</v>
      </c>
      <c r="F38" s="83" t="s">
        <v>394</v>
      </c>
      <c r="G38" s="83" t="s">
        <v>394</v>
      </c>
    </row>
    <row r="39" spans="1:7" ht="19" x14ac:dyDescent="0.25">
      <c r="A39" s="86" t="s">
        <v>20</v>
      </c>
      <c r="B39" s="83" t="s">
        <v>43</v>
      </c>
      <c r="C39" s="83" t="s">
        <v>137</v>
      </c>
      <c r="D39" s="80"/>
      <c r="E39" s="86" t="s">
        <v>20</v>
      </c>
      <c r="F39" s="83" t="s">
        <v>33</v>
      </c>
      <c r="G39" s="83" t="s">
        <v>33</v>
      </c>
    </row>
    <row r="40" spans="1:7" ht="19" x14ac:dyDescent="0.25">
      <c r="A40" s="86" t="s">
        <v>21</v>
      </c>
      <c r="B40" s="83" t="s">
        <v>84</v>
      </c>
      <c r="C40" s="83" t="s">
        <v>121</v>
      </c>
      <c r="D40" s="80"/>
      <c r="E40" s="86" t="s">
        <v>21</v>
      </c>
      <c r="F40" s="83" t="s">
        <v>86</v>
      </c>
      <c r="G40" s="83" t="s">
        <v>294</v>
      </c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13"/>
  <sheetViews>
    <sheetView zoomScale="133" workbookViewId="0">
      <selection activeCell="G8" sqref="G8"/>
    </sheetView>
  </sheetViews>
  <sheetFormatPr baseColWidth="10" defaultColWidth="8.83203125" defaultRowHeight="15" x14ac:dyDescent="0.2"/>
  <cols>
    <col min="1" max="1" width="6.83203125" customWidth="1"/>
    <col min="2" max="2" width="12.6640625" customWidth="1"/>
    <col min="3" max="4" width="18" customWidth="1"/>
    <col min="5" max="5" width="10.5" customWidth="1"/>
    <col min="6" max="6" width="9.5" customWidth="1"/>
    <col min="7" max="7" width="55.5" customWidth="1"/>
  </cols>
  <sheetData>
    <row r="1" spans="1:7" ht="31" customHeight="1" x14ac:dyDescent="0.2">
      <c r="A1" s="121" t="s">
        <v>384</v>
      </c>
      <c r="B1" s="121"/>
      <c r="C1" s="121"/>
      <c r="D1" s="121"/>
      <c r="E1" s="121"/>
      <c r="F1" s="121"/>
      <c r="G1" s="121"/>
    </row>
    <row r="2" spans="1:7" ht="22" customHeight="1" x14ac:dyDescent="0.2">
      <c r="A2" s="122" t="s">
        <v>415</v>
      </c>
      <c r="B2" s="122"/>
      <c r="C2" s="122"/>
      <c r="D2" s="122"/>
      <c r="E2" s="122"/>
      <c r="F2" s="122"/>
      <c r="G2" s="122"/>
    </row>
    <row r="3" spans="1:7" ht="24" customHeight="1" x14ac:dyDescent="0.3">
      <c r="A3" s="73" t="s">
        <v>26</v>
      </c>
      <c r="B3" s="72"/>
      <c r="C3" s="73"/>
      <c r="D3" s="73"/>
      <c r="E3" s="73"/>
      <c r="F3" s="2"/>
      <c r="G3" s="74" t="s">
        <v>414</v>
      </c>
    </row>
    <row r="4" spans="1:7" ht="41" customHeight="1" x14ac:dyDescent="0.2">
      <c r="A4" s="65" t="s">
        <v>25</v>
      </c>
      <c r="B4" s="65" t="s">
        <v>382</v>
      </c>
      <c r="C4" s="65" t="s">
        <v>22</v>
      </c>
      <c r="D4" s="65" t="s">
        <v>383</v>
      </c>
      <c r="E4" s="65" t="s">
        <v>23</v>
      </c>
      <c r="F4" s="65" t="s">
        <v>381</v>
      </c>
      <c r="G4" s="75" t="s">
        <v>24</v>
      </c>
    </row>
    <row r="5" spans="1:7" s="56" customFormat="1" ht="27" customHeight="1" x14ac:dyDescent="0.2">
      <c r="A5" s="66">
        <v>1</v>
      </c>
      <c r="B5" s="76">
        <v>1</v>
      </c>
      <c r="C5" s="77" t="s">
        <v>60</v>
      </c>
      <c r="D5" s="77" t="str">
        <f>VLOOKUP(C5,nomi!B:C,2,FALSE)</f>
        <v>TeoDaniricky2000</v>
      </c>
      <c r="E5" s="67" t="s">
        <v>380</v>
      </c>
      <c r="F5" s="67">
        <v>1</v>
      </c>
      <c r="G5" s="78" t="s">
        <v>416</v>
      </c>
    </row>
    <row r="6" spans="1:7" s="56" customFormat="1" ht="27" customHeight="1" x14ac:dyDescent="0.2">
      <c r="A6" s="66">
        <v>2</v>
      </c>
      <c r="B6" s="68">
        <v>1</v>
      </c>
      <c r="C6" s="77" t="s">
        <v>52</v>
      </c>
      <c r="D6" s="77" t="str">
        <f>VLOOKUP(C6,nomi!B:C,2,FALSE)</f>
        <v>TLM_GAMMA</v>
      </c>
      <c r="E6" s="67" t="s">
        <v>380</v>
      </c>
      <c r="F6" s="67">
        <v>1</v>
      </c>
      <c r="G6" s="78" t="s">
        <v>417</v>
      </c>
    </row>
    <row r="7" spans="1:7" s="56" customFormat="1" ht="27" customHeight="1" x14ac:dyDescent="0.2">
      <c r="A7" s="66">
        <v>3</v>
      </c>
      <c r="B7" s="68">
        <v>4</v>
      </c>
      <c r="C7" s="78" t="s">
        <v>90</v>
      </c>
      <c r="D7" s="77" t="str">
        <f>VLOOKUP(C7,nomi!B:C,2,FALSE)</f>
        <v>Dimaaa66</v>
      </c>
      <c r="E7" s="67" t="s">
        <v>380</v>
      </c>
      <c r="F7" s="67">
        <v>0</v>
      </c>
      <c r="G7" s="78" t="s">
        <v>419</v>
      </c>
    </row>
    <row r="8" spans="1:7" ht="27" customHeight="1" x14ac:dyDescent="0.25">
      <c r="A8" s="69">
        <v>4</v>
      </c>
      <c r="B8" s="69"/>
      <c r="C8" s="79"/>
      <c r="D8" s="79"/>
      <c r="E8" s="70" t="s">
        <v>27</v>
      </c>
      <c r="F8" s="70"/>
      <c r="G8" s="79"/>
    </row>
    <row r="9" spans="1:7" ht="27" customHeight="1" x14ac:dyDescent="0.25">
      <c r="A9" s="69">
        <v>5</v>
      </c>
      <c r="B9" s="69"/>
      <c r="C9" s="79"/>
      <c r="D9" s="79"/>
      <c r="E9" s="70" t="s">
        <v>27</v>
      </c>
      <c r="F9" s="70"/>
      <c r="G9" s="79"/>
    </row>
    <row r="10" spans="1:7" ht="27" customHeight="1" x14ac:dyDescent="0.25">
      <c r="A10" s="69">
        <v>6</v>
      </c>
      <c r="B10" s="69"/>
      <c r="C10" s="79"/>
      <c r="D10" s="79"/>
      <c r="E10" s="70" t="s">
        <v>27</v>
      </c>
      <c r="F10" s="70"/>
      <c r="G10" s="79"/>
    </row>
    <row r="11" spans="1:7" ht="27" customHeight="1" x14ac:dyDescent="0.25">
      <c r="A11" s="69">
        <v>7</v>
      </c>
      <c r="B11" s="69"/>
      <c r="C11" s="79"/>
      <c r="D11" s="79"/>
      <c r="E11" s="70" t="s">
        <v>27</v>
      </c>
      <c r="F11" s="70"/>
      <c r="G11" s="79"/>
    </row>
    <row r="12" spans="1:7" ht="27" customHeight="1" x14ac:dyDescent="0.25">
      <c r="A12" s="69">
        <v>8</v>
      </c>
      <c r="B12" s="69"/>
      <c r="C12" s="79"/>
      <c r="D12" s="79"/>
      <c r="E12" s="70" t="s">
        <v>27</v>
      </c>
      <c r="F12" s="70"/>
      <c r="G12" s="79"/>
    </row>
    <row r="13" spans="1:7" ht="51" customHeight="1" x14ac:dyDescent="0.2">
      <c r="A13" s="123" t="s">
        <v>398</v>
      </c>
      <c r="B13" s="123"/>
      <c r="C13" s="124" t="s">
        <v>418</v>
      </c>
      <c r="D13" s="124"/>
      <c r="E13" s="124"/>
      <c r="F13" s="124"/>
      <c r="G13" s="124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6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25"/>
      <c r="B2" s="125"/>
      <c r="C2" s="125"/>
      <c r="D2" s="125"/>
      <c r="E2" s="125"/>
      <c r="F2" s="125"/>
      <c r="G2" s="125"/>
      <c r="H2" s="15"/>
      <c r="I2" s="125"/>
      <c r="J2" s="125"/>
      <c r="K2" s="125"/>
      <c r="L2" s="125"/>
      <c r="M2" s="125"/>
      <c r="N2" s="125"/>
      <c r="O2" s="125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2024-06-10T18:43:27Z</cp:lastPrinted>
  <dcterms:created xsi:type="dcterms:W3CDTF">2023-09-05T10:19:23Z</dcterms:created>
  <dcterms:modified xsi:type="dcterms:W3CDTF">2024-06-13T23:34:15Z</dcterms:modified>
</cp:coreProperties>
</file>