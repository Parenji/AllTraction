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"/>
    </mc:Choice>
  </mc:AlternateContent>
  <xr:revisionPtr revIDLastSave="0" documentId="13_ncr:1_{D4FDD19C-12F3-C244-8447-E105F0E9109B}" xr6:coauthVersionLast="47" xr6:coauthVersionMax="47" xr10:uidLastSave="{00000000-0000-0000-0000-000000000000}"/>
  <bookViews>
    <workbookView xWindow="860" yWindow="500" windowWidth="27940" windowHeight="17500" activeTab="3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3" i="9" l="1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E101" i="9"/>
  <c r="F101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E102" i="9"/>
  <c r="F102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E103" i="9"/>
  <c r="F103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E104" i="9"/>
  <c r="F104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E105" i="9"/>
  <c r="F105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E106" i="9"/>
  <c r="F106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W113" i="9"/>
  <c r="X113" i="9"/>
  <c r="Y113" i="9"/>
  <c r="Z113" i="9"/>
  <c r="AA113" i="9"/>
  <c r="AB113" i="9"/>
  <c r="AC113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AC114" i="9"/>
  <c r="E115" i="9"/>
  <c r="F115" i="9"/>
  <c r="G115" i="9"/>
  <c r="H115" i="9"/>
  <c r="I115" i="9"/>
  <c r="J115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X115" i="9"/>
  <c r="Y115" i="9"/>
  <c r="Z115" i="9"/>
  <c r="AA115" i="9"/>
  <c r="AB115" i="9"/>
  <c r="AC115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W116" i="9"/>
  <c r="X116" i="9"/>
  <c r="Y116" i="9"/>
  <c r="Z116" i="9"/>
  <c r="AA116" i="9"/>
  <c r="AB116" i="9"/>
  <c r="AC116" i="9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W118" i="9"/>
  <c r="X118" i="9"/>
  <c r="Y118" i="9"/>
  <c r="Z118" i="9"/>
  <c r="AA118" i="9"/>
  <c r="AB118" i="9"/>
  <c r="AC118" i="9"/>
  <c r="E119" i="9"/>
  <c r="F119" i="9"/>
  <c r="G119" i="9"/>
  <c r="H119" i="9"/>
  <c r="I119" i="9"/>
  <c r="J119" i="9"/>
  <c r="K119" i="9"/>
  <c r="L119" i="9"/>
  <c r="M119" i="9"/>
  <c r="N119" i="9"/>
  <c r="O119" i="9"/>
  <c r="P119" i="9"/>
  <c r="Q119" i="9"/>
  <c r="R119" i="9"/>
  <c r="S119" i="9"/>
  <c r="T119" i="9"/>
  <c r="U119" i="9"/>
  <c r="V119" i="9"/>
  <c r="W119" i="9"/>
  <c r="X119" i="9"/>
  <c r="Y119" i="9"/>
  <c r="Z119" i="9"/>
  <c r="AA119" i="9"/>
  <c r="AB119" i="9"/>
  <c r="AC119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Q120" i="9"/>
  <c r="R120" i="9"/>
  <c r="S120" i="9"/>
  <c r="T120" i="9"/>
  <c r="U120" i="9"/>
  <c r="V120" i="9"/>
  <c r="W120" i="9"/>
  <c r="X120" i="9"/>
  <c r="Y120" i="9"/>
  <c r="Z120" i="9"/>
  <c r="AA120" i="9"/>
  <c r="AB120" i="9"/>
  <c r="AC120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W121" i="9"/>
  <c r="X121" i="9"/>
  <c r="Y121" i="9"/>
  <c r="Z121" i="9"/>
  <c r="AA121" i="9"/>
  <c r="AB121" i="9"/>
  <c r="AC121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W122" i="9"/>
  <c r="X122" i="9"/>
  <c r="Y122" i="9"/>
  <c r="Z122" i="9"/>
  <c r="AA122" i="9"/>
  <c r="AB122" i="9"/>
  <c r="AC122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W123" i="9"/>
  <c r="X123" i="9"/>
  <c r="Y123" i="9"/>
  <c r="Z123" i="9"/>
  <c r="AA123" i="9"/>
  <c r="AB123" i="9"/>
  <c r="AC123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Q124" i="9"/>
  <c r="R124" i="9"/>
  <c r="S124" i="9"/>
  <c r="T124" i="9"/>
  <c r="U124" i="9"/>
  <c r="V124" i="9"/>
  <c r="W124" i="9"/>
  <c r="X124" i="9"/>
  <c r="Y124" i="9"/>
  <c r="Z124" i="9"/>
  <c r="AA124" i="9"/>
  <c r="AB124" i="9"/>
  <c r="AC124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D123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4" i="9"/>
  <c r="D34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" i="9"/>
  <c r="D6" i="2"/>
  <c r="D7" i="2"/>
  <c r="D8" i="2"/>
  <c r="AA58" i="1"/>
  <c r="Z58" i="1"/>
  <c r="V58" i="1"/>
  <c r="V118" i="1" s="1"/>
  <c r="R58" i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N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W118" i="1"/>
  <c r="X118" i="1"/>
  <c r="Y118" i="1"/>
  <c r="Z118" i="1"/>
  <c r="AA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N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56" i="1"/>
  <c r="F116" i="1" s="1"/>
  <c r="J56" i="1"/>
  <c r="J116" i="1" s="1"/>
  <c r="N56" i="1"/>
  <c r="N116" i="1" s="1"/>
  <c r="R56" i="1"/>
  <c r="R116" i="1" s="1"/>
  <c r="V56" i="1"/>
  <c r="V116" i="1" s="1"/>
  <c r="Z56" i="1"/>
  <c r="Z116" i="1" s="1"/>
  <c r="AA56" i="1"/>
  <c r="AA116" i="1" s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60" i="1"/>
  <c r="N120" i="1" s="1"/>
  <c r="N50" i="1"/>
  <c r="N110" i="1" s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122" i="1" s="1"/>
  <c r="F61" i="1"/>
  <c r="F121" i="1" s="1"/>
  <c r="F60" i="1"/>
  <c r="F120" i="1" s="1"/>
  <c r="F50" i="1"/>
  <c r="F110" i="1" s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85" i="1" s="1"/>
  <c r="F22" i="1"/>
  <c r="F84" i="1" s="1"/>
  <c r="F21" i="1"/>
  <c r="F83" i="1" s="1"/>
  <c r="F20" i="1"/>
  <c r="J33" i="1"/>
  <c r="J95" i="1" s="1"/>
  <c r="J32" i="1"/>
  <c r="J94" i="1" s="1"/>
  <c r="J31" i="1"/>
  <c r="J93" i="1" s="1"/>
  <c r="J30" i="1"/>
  <c r="J92" i="1" s="1"/>
  <c r="J28" i="1"/>
  <c r="J90" i="1" s="1"/>
  <c r="J27" i="1"/>
  <c r="J89" i="1" s="1"/>
  <c r="J26" i="1"/>
  <c r="J88" i="1" s="1"/>
  <c r="J25" i="1"/>
  <c r="J87" i="1" s="1"/>
  <c r="J24" i="1"/>
  <c r="J86" i="1" s="1"/>
  <c r="J23" i="1"/>
  <c r="J22" i="1"/>
  <c r="J84" i="1" s="1"/>
  <c r="J21" i="1"/>
  <c r="J83" i="1" s="1"/>
  <c r="J20" i="1"/>
  <c r="J82" i="1" s="1"/>
  <c r="N33" i="1"/>
  <c r="N95" i="1" s="1"/>
  <c r="N32" i="1"/>
  <c r="N94" i="1" s="1"/>
  <c r="N31" i="1"/>
  <c r="N93" i="1" s="1"/>
  <c r="N30" i="1"/>
  <c r="N92" i="1" s="1"/>
  <c r="N28" i="1"/>
  <c r="N90" i="1" s="1"/>
  <c r="N27" i="1"/>
  <c r="N26" i="1"/>
  <c r="N88" i="1" s="1"/>
  <c r="N25" i="1"/>
  <c r="N87" i="1" s="1"/>
  <c r="N24" i="1"/>
  <c r="N86" i="1" s="1"/>
  <c r="N23" i="1"/>
  <c r="N85" i="1" s="1"/>
  <c r="N22" i="1"/>
  <c r="N84" i="1" s="1"/>
  <c r="N21" i="1"/>
  <c r="N83" i="1" s="1"/>
  <c r="N20" i="1"/>
  <c r="N82" i="1" s="1"/>
  <c r="R26" i="1"/>
  <c r="R88" i="1" s="1"/>
  <c r="V26" i="1"/>
  <c r="Z26" i="1"/>
  <c r="Z88" i="1" s="1"/>
  <c r="AA26" i="1"/>
  <c r="AA88" i="1" s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60" i="1"/>
  <c r="AA120" i="1" s="1"/>
  <c r="Z60" i="1"/>
  <c r="Z120" i="1" s="1"/>
  <c r="V60" i="1"/>
  <c r="V120" i="1" s="1"/>
  <c r="R60" i="1"/>
  <c r="R120" i="1" s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45" i="1"/>
  <c r="AA106" i="1" s="1"/>
  <c r="Z45" i="1"/>
  <c r="Z106" i="1" s="1"/>
  <c r="V45" i="1"/>
  <c r="R45" i="1"/>
  <c r="R106" i="1" s="1"/>
  <c r="N45" i="1"/>
  <c r="J45" i="1"/>
  <c r="J106" i="1" s="1"/>
  <c r="F45" i="1"/>
  <c r="F106" i="1" s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40" i="1"/>
  <c r="AA101" i="1" s="1"/>
  <c r="Z40" i="1"/>
  <c r="Z101" i="1" s="1"/>
  <c r="V40" i="1"/>
  <c r="V101" i="1" s="1"/>
  <c r="R40" i="1"/>
  <c r="R101" i="1" s="1"/>
  <c r="N40" i="1"/>
  <c r="N101" i="1" s="1"/>
  <c r="J40" i="1"/>
  <c r="J101" i="1" s="1"/>
  <c r="F40" i="1"/>
  <c r="F101" i="1" s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28" i="1"/>
  <c r="AA90" i="1" s="1"/>
  <c r="AA25" i="1"/>
  <c r="AA87" i="1" s="1"/>
  <c r="AA24" i="1"/>
  <c r="AA86" i="1" s="1"/>
  <c r="AA23" i="1"/>
  <c r="AA85" i="1" s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70" i="1" s="1"/>
  <c r="J6" i="1"/>
  <c r="J69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81" i="1" s="1"/>
  <c r="AA17" i="1"/>
  <c r="AA80" i="1" s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32" i="1"/>
  <c r="Z94" i="1" s="1"/>
  <c r="V32" i="1"/>
  <c r="V94" i="1" s="1"/>
  <c r="R32" i="1"/>
  <c r="R94" i="1" s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Z23" i="1"/>
  <c r="V23" i="1"/>
  <c r="V85" i="1" s="1"/>
  <c r="R23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" i="1"/>
  <c r="Z69" i="1" s="1"/>
  <c r="Z7" i="1"/>
  <c r="Z70" i="1" s="1"/>
  <c r="Z8" i="1"/>
  <c r="Z71" i="1" s="1"/>
  <c r="Z9" i="1"/>
  <c r="Z72" i="1" s="1"/>
  <c r="Z10" i="1"/>
  <c r="Z73" i="1" s="1"/>
  <c r="Z77" i="1"/>
  <c r="Z15" i="1"/>
  <c r="Z78" i="1" s="1"/>
  <c r="Z16" i="1"/>
  <c r="Z79" i="1" s="1"/>
  <c r="Z17" i="1"/>
  <c r="Z80" i="1" s="1"/>
  <c r="Z18" i="1"/>
  <c r="Z81" i="1" s="1"/>
  <c r="V6" i="1"/>
  <c r="V69" i="1" s="1"/>
  <c r="V7" i="1"/>
  <c r="V70" i="1" s="1"/>
  <c r="V8" i="1"/>
  <c r="V71" i="1" s="1"/>
  <c r="V9" i="1"/>
  <c r="V72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L7" i="9" l="1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C36" i="9" s="1"/>
  <c r="B38" i="9"/>
  <c r="C38" i="9" s="1"/>
  <c r="B46" i="9"/>
  <c r="C46" i="9" s="1"/>
  <c r="B49" i="9"/>
  <c r="C49" i="9" s="1"/>
  <c r="B39" i="9"/>
  <c r="C39" i="9" s="1"/>
  <c r="B47" i="9"/>
  <c r="C47" i="9" s="1"/>
  <c r="B40" i="9"/>
  <c r="C40" i="9" s="1"/>
  <c r="B48" i="9"/>
  <c r="C48" i="9" s="1"/>
  <c r="B41" i="9"/>
  <c r="C41" i="9" s="1"/>
  <c r="B42" i="9"/>
  <c r="C42" i="9" s="1"/>
  <c r="B43" i="9"/>
  <c r="C43" i="9" s="1"/>
  <c r="B44" i="9"/>
  <c r="C44" i="9" s="1"/>
  <c r="B37" i="9"/>
  <c r="C37" i="9" s="1"/>
  <c r="B45" i="9"/>
  <c r="C45" i="9" s="1"/>
  <c r="B50" i="6"/>
  <c r="B51" i="9" s="1"/>
  <c r="C51" i="9" s="1"/>
  <c r="B53" i="9"/>
  <c r="C53" i="9" s="1"/>
  <c r="B61" i="9"/>
  <c r="C61" i="9" s="1"/>
  <c r="B62" i="9"/>
  <c r="C62" i="9" s="1"/>
  <c r="B63" i="9"/>
  <c r="C63" i="9" s="1"/>
  <c r="B56" i="9"/>
  <c r="C56" i="9" s="1"/>
  <c r="B64" i="9"/>
  <c r="C64" i="9" s="1"/>
  <c r="B54" i="9"/>
  <c r="C54" i="9" s="1"/>
  <c r="B55" i="9"/>
  <c r="C55" i="9" s="1"/>
  <c r="B58" i="9"/>
  <c r="C58" i="9" s="1"/>
  <c r="B59" i="9"/>
  <c r="C59" i="9" s="1"/>
  <c r="B57" i="9"/>
  <c r="C57" i="9" s="1"/>
  <c r="B52" i="9"/>
  <c r="C52" i="9" s="1"/>
  <c r="B60" i="9"/>
  <c r="C60" i="9" s="1"/>
  <c r="B20" i="6"/>
  <c r="B21" i="9" s="1"/>
  <c r="C21" i="9" s="1"/>
  <c r="B23" i="9"/>
  <c r="C23" i="9" s="1"/>
  <c r="B31" i="9"/>
  <c r="C31" i="9" s="1"/>
  <c r="B33" i="9"/>
  <c r="C33" i="9" s="1"/>
  <c r="B24" i="9"/>
  <c r="C24" i="9" s="1"/>
  <c r="B32" i="9"/>
  <c r="C32" i="9" s="1"/>
  <c r="B25" i="9"/>
  <c r="C25" i="9" s="1"/>
  <c r="B26" i="9"/>
  <c r="C26" i="9" s="1"/>
  <c r="B34" i="9"/>
  <c r="C34" i="9" s="1"/>
  <c r="B27" i="9"/>
  <c r="C27" i="9" s="1"/>
  <c r="B28" i="9"/>
  <c r="C28" i="9" s="1"/>
  <c r="B29" i="9"/>
  <c r="C29" i="9" s="1"/>
  <c r="B22" i="9"/>
  <c r="C22" i="9" s="1"/>
  <c r="B30" i="9"/>
  <c r="C30" i="9" s="1"/>
  <c r="B5" i="6"/>
  <c r="B6" i="9" s="1"/>
  <c r="C6" i="9" s="1"/>
  <c r="B10" i="9"/>
  <c r="C10" i="9" s="1"/>
  <c r="B18" i="9"/>
  <c r="C18" i="9" s="1"/>
  <c r="B11" i="9"/>
  <c r="C11" i="9" s="1"/>
  <c r="B19" i="9"/>
  <c r="C19" i="9" s="1"/>
  <c r="B12" i="9"/>
  <c r="C12" i="9" s="1"/>
  <c r="B13" i="9"/>
  <c r="C13" i="9" s="1"/>
  <c r="B14" i="9"/>
  <c r="C14" i="9" s="1"/>
  <c r="B7" i="9"/>
  <c r="C7" i="9" s="1"/>
  <c r="B15" i="9"/>
  <c r="C15" i="9" s="1"/>
  <c r="B8" i="9"/>
  <c r="C8" i="9" s="1"/>
  <c r="B16" i="9"/>
  <c r="C16" i="9" s="1"/>
  <c r="B9" i="9"/>
  <c r="C9" i="9" s="1"/>
  <c r="B17" i="9"/>
  <c r="C17" i="9" s="1"/>
  <c r="B68" i="6"/>
  <c r="B69" i="9" s="1"/>
  <c r="C69" i="9" s="1"/>
  <c r="B75" i="9"/>
  <c r="C75" i="9" s="1"/>
  <c r="B83" i="9"/>
  <c r="C83" i="9" s="1"/>
  <c r="B91" i="9"/>
  <c r="C91" i="9" s="1"/>
  <c r="B99" i="9"/>
  <c r="C99" i="9" s="1"/>
  <c r="B107" i="9"/>
  <c r="C107" i="9" s="1"/>
  <c r="B115" i="9"/>
  <c r="C115" i="9" s="1"/>
  <c r="B123" i="9"/>
  <c r="C123" i="9" s="1"/>
  <c r="B76" i="9"/>
  <c r="C76" i="9" s="1"/>
  <c r="B84" i="9"/>
  <c r="C84" i="9" s="1"/>
  <c r="B92" i="9"/>
  <c r="C92" i="9" s="1"/>
  <c r="B100" i="9"/>
  <c r="C100" i="9" s="1"/>
  <c r="B108" i="9"/>
  <c r="C108" i="9" s="1"/>
  <c r="B116" i="9"/>
  <c r="C116" i="9" s="1"/>
  <c r="B124" i="9"/>
  <c r="C124" i="9" s="1"/>
  <c r="B77" i="9"/>
  <c r="C77" i="9" s="1"/>
  <c r="B85" i="9"/>
  <c r="C85" i="9" s="1"/>
  <c r="B93" i="9"/>
  <c r="C93" i="9" s="1"/>
  <c r="B101" i="9"/>
  <c r="C101" i="9" s="1"/>
  <c r="B109" i="9"/>
  <c r="C109" i="9" s="1"/>
  <c r="B117" i="9"/>
  <c r="C117" i="9" s="1"/>
  <c r="B70" i="9"/>
  <c r="C70" i="9" s="1"/>
  <c r="B78" i="9"/>
  <c r="C78" i="9" s="1"/>
  <c r="B86" i="9"/>
  <c r="C86" i="9" s="1"/>
  <c r="B94" i="9"/>
  <c r="C94" i="9" s="1"/>
  <c r="B102" i="9"/>
  <c r="C102" i="9" s="1"/>
  <c r="B110" i="9"/>
  <c r="C110" i="9" s="1"/>
  <c r="B118" i="9"/>
  <c r="C118" i="9" s="1"/>
  <c r="B71" i="9"/>
  <c r="C71" i="9" s="1"/>
  <c r="B79" i="9"/>
  <c r="C79" i="9" s="1"/>
  <c r="B87" i="9"/>
  <c r="C87" i="9" s="1"/>
  <c r="B95" i="9"/>
  <c r="C95" i="9" s="1"/>
  <c r="B103" i="9"/>
  <c r="C103" i="9" s="1"/>
  <c r="B111" i="9"/>
  <c r="C111" i="9" s="1"/>
  <c r="B119" i="9"/>
  <c r="C119" i="9" s="1"/>
  <c r="B72" i="9"/>
  <c r="C72" i="9" s="1"/>
  <c r="B80" i="9"/>
  <c r="C80" i="9" s="1"/>
  <c r="B88" i="9"/>
  <c r="C88" i="9" s="1"/>
  <c r="B96" i="9"/>
  <c r="C96" i="9" s="1"/>
  <c r="B104" i="9"/>
  <c r="C104" i="9" s="1"/>
  <c r="B112" i="9"/>
  <c r="C112" i="9" s="1"/>
  <c r="B120" i="9"/>
  <c r="C120" i="9" s="1"/>
  <c r="B73" i="9"/>
  <c r="C73" i="9" s="1"/>
  <c r="B81" i="9"/>
  <c r="C81" i="9" s="1"/>
  <c r="B89" i="9"/>
  <c r="C89" i="9" s="1"/>
  <c r="B97" i="9"/>
  <c r="C97" i="9" s="1"/>
  <c r="B105" i="9"/>
  <c r="C105" i="9" s="1"/>
  <c r="B113" i="9"/>
  <c r="C113" i="9" s="1"/>
  <c r="B121" i="9"/>
  <c r="C121" i="9" s="1"/>
  <c r="B74" i="9"/>
  <c r="C74" i="9" s="1"/>
  <c r="B82" i="9"/>
  <c r="C82" i="9" s="1"/>
  <c r="B90" i="9"/>
  <c r="C90" i="9" s="1"/>
  <c r="B98" i="9"/>
  <c r="C98" i="9" s="1"/>
  <c r="B106" i="9"/>
  <c r="C106" i="9" s="1"/>
  <c r="B114" i="9"/>
  <c r="C114" i="9" s="1"/>
  <c r="B122" i="9"/>
  <c r="C122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<sst xmlns="http://schemas.openxmlformats.org/spreadsheetml/2006/main" count="1211" uniqueCount="424">
  <si>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</si>
  <si>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</si>
  <si>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</si>
  <si>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</si>
  <si>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</si>
  <si>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</si>
  <si>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</si>
  <si>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</si>
  <si>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</si>
  <si>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</si>
  <si>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</si>
  <si>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</si>
  <si>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</si>
  <si>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</si>
  <si>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</si>
  <si>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</si>
  <si>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</si>
  <si>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</si>
  <si>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</si>
  <si>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</si>
  <si>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</si>
  <si>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</si>
  <si>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</si>
  <si>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</si>
  <si>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</si>
  <si>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</si>
  <si>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</si>
  <si>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+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</si>
  <si>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</si>
  <si>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</si>
  <si>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</si>
  <si>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</si>
  <si>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</si>
  <si>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</si>
  <si>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</si>
  <si>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</si>
  <si>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</si>
  <si>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</si>
  <si>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</si>
  <si>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</si>
  <si>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</si>
  <si>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</si>
  <si>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</si>
  <si>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</si>
  <si>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</si>
  <si>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</si>
  <si>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</si>
  <si>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</si>
  <si>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</si>
  <si>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</si>
  <si>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</si>
  <si>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</si>
  <si>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</si>
  <si>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</si>
  <si>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</si>
  <si>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</si>
  <si>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</si>
  <si>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</si>
  <si>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</si>
  <si>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</si>
  <si>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</si>
  <si>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</si>
  <si>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</si>
  <si>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</si>
  <si>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</si>
  <si>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</si>
  <si>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</si>
  <si>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</si>
  <si>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</si>
  <si>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</si>
  <si>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</si>
  <si>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</si>
  <si>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</si>
  <si>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</si>
  <si>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</si>
  <si>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</si>
  <si>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</si>
  <si>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</si>
  <si>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</si>
  <si>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</si>
  <si>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</si>
  <si>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</si>
  <si>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</si>
  <si>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</si>
  <si>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</si>
  <si>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</si>
  <si>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</si>
  <si>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</si>
  <si>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</si>
  <si>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</si>
  <si>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</si>
  <si>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</si>
  <si>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</si>
  <si>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</si>
  <si>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</si>
  <si>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</si>
  <si>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</si>
  <si>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</si>
  <si>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</si>
  <si>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</si>
  <si>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</si>
  <si>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</si>
  <si>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A. Guarnaccia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</si>
  <si>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</si>
  <si>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</si>
  <si>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</si>
  <si>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</si>
  <si>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</si>
  <si>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</si>
  <si>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</si>
  <si>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</si>
  <si>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</si>
  <si>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</si>
  <si>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</si>
  <si>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</si>
  <si>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</si>
  <si>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</si>
  <si>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</si>
  <si>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</si>
  <si>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</si>
  <si>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</si>
  <si>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</si>
  <si>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</si>
  <si>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</si>
  <si>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</si>
  <si>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</si>
  <si>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</si>
  <si>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</si>
  <si>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</si>
  <si>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</si>
  <si>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</si>
  <si>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</si>
  <si>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</si>
  <si>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</si>
  <si>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</si>
  <si>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</si>
  <si>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</si>
  <si>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</si>
  <si>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</si>
  <si>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</si>
  <si>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</si>
  <si>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</si>
  <si>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</si>
  <si>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</si>
  <si>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</si>
  <si>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</si>
  <si>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</si>
  <si>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</si>
  <si>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</si>
  <si>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</si>
  <si>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</si>
  <si>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</si>
  <si>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</si>
  <si>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</si>
  <si>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</si>
  <si>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</si>
  <si>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</si>
  <si>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</si>
  <si>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</si>
  <si>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</si>
  <si>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</si>
  <si>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</si>
  <si>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</si>
  <si>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</si>
  <si>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</si>
  <si>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</si>
  <si>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</si>
  <si>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</si>
  <si>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</si>
  <si>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</si>
  <si>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</si>
  <si>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</si>
  <si>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</si>
  <si>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</si>
  <si>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</si>
  <si>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</si>
  <si>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</si>
  <si>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</si>
  <si>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</si>
  <si>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</si>
  <si>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</si>
  <si>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</si>
  <si>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</si>
  <si>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</si>
  <si>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</si>
  <si>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</si>
  <si>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</si>
  <si>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</si>
  <si>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</si>
  <si>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</si>
  <si>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</si>
  <si>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</si>
  <si>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</si>
  <si>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</si>
  <si>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</si>
  <si>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</si>
  <si>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</si>
  <si>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</si>
  <si>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</si>
  <si>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</si>
  <si>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</si>
  <si>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</si>
  <si>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</si>
  <si>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</si>
  <si>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</si>
  <si>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</si>
  <si>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</si>
  <si>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</si>
  <si>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</si>
  <si>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</si>
  <si>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</si>
  <si>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</si>
  <si>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</si>
  <si>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</si>
  <si>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</si>
  <si>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</si>
  <si>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</si>
  <si>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</si>
  <si>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</si>
  <si>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</si>
  <si>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</si>
  <si>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</si>
  <si>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</si>
  <si>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</si>
  <si>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</si>
  <si>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</si>
  <si>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</si>
  <si>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</si>
  <si>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</si>
  <si>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</si>
  <si>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</si>
  <si>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</si>
  <si>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</si>
  <si>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</si>
  <si>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</si>
  <si>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</si>
  <si>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</si>
  <si>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</si>
  <si>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</si>
  <si>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</si>
  <si>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</si>
  <si>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</si>
  <si>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</si>
  <si>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</si>
  <si>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</si>
  <si>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</si>
  <si>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</si>
  <si>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</si>
  <si>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</si>
  <si>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</si>
  <si>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</si>
  <si>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</si>
  <si>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</si>
  <si>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</si>
  <si>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</si>
  <si>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</si>
  <si>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</si>
  <si>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</si>
  <si>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</si>
  <si>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</si>
  <si>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</si>
  <si>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</si>
  <si>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</si>
  <si>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</si>
  <si>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</si>
  <si>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</si>
  <si>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</si>
  <si>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</si>
  <si>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</si>
  <si>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</si>
  <si>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</si>
  <si>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</si>
  <si>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</si>
  <si>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</si>
  <si>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</si>
  <si>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</si>
  <si>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</si>
  <si>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</si>
  <si>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</si>
  <si>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</si>
  <si>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</si>
  <si>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</si>
  <si>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</si>
  <si>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</si>
  <si>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</si>
  <si>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</si>
  <si>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</si>
  <si>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</si>
  <si>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</si>
  <si>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</si>
  <si>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</si>
  <si>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</si>
  <si>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</si>
  <si>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</si>
  <si>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</si>
  <si>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</si>
  <si>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</si>
  <si>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</si>
  <si>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</si>
  <si>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</si>
  <si>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</si>
  <si>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</si>
  <si>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</si>
  <si>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</si>
  <si>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</si>
  <si>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</si>
  <si>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</si>
  <si>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</si>
  <si>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</si>
  <si>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</si>
  <si>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</si>
  <si>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</si>
  <si>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</si>
  <si>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</si>
  <si>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</si>
  <si>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</si>
  <si>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</si>
  <si>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</si>
  <si>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</si>
  <si>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</si>
  <si>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</si>
  <si>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</si>
  <si>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</si>
  <si>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</si>
  <si>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</si>
  <si>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</si>
  <si>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</si>
  <si>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</si>
  <si>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</si>
  <si>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</si>
  <si>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</si>
  <si>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</si>
  <si>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</si>
  <si>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</si>
  <si>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</si>
  <si>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</si>
  <si>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</si>
  <si>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</si>
  <si>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</si>
  <si>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</si>
  <si>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</si>
  <si>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</si>
  <si>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</si>
  <si>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</si>
  <si>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</si>
  <si>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</si>
  <si>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</si>
  <si>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</si>
  <si>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</si>
  <si>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</si>
  <si>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</si>
  <si>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</si>
  <si>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</si>
  <si>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</si>
  <si>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</si>
  <si>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</si>
  <si>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</si>
  <si>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</si>
  <si>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</si>
  <si>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</si>
  <si>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</si>
  <si>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</si>
  <si>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</si>
  <si>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</si>
  <si>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</si>
  <si>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</si>
  <si>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</si>
  <si>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</si>
  <si>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</si>
  <si>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</si>
  <si>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</si>
  <si>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</si>
  <si>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</si>
  <si>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</si>
  <si>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</si>
  <si>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</si>
  <si>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</si>
  <si>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</si>
  <si>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</si>
  <si>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</si>
  <si>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</si>
  <si>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</si>
  <si>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</si>
  <si>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</si>
  <si>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</si>
  <si>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</si>
  <si>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</si>
  <si>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</si>
  <si>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</si>
  <si>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</si>
  <si>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</si>
  <si>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</si>
  <si>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</si>
  <si>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</si>
  <si>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</si>
  <si>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</si>
  <si>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</si>
  <si>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</si>
  <si>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</si>
  <si>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</si>
  <si>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</si>
  <si>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</si>
  <si>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</si>
  <si>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</si>
  <si>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</si>
  <si>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</si>
  <si>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Provvedimento n. 2</t>
  </si>
  <si>
    <t>GARA 2</t>
  </si>
  <si>
    <t>Per i ripetuti "zig-zag" osservati nel corso della gara</t>
  </si>
  <si>
    <t>La direzione gara ricorda che non si può fare zig zag in pista. È consentito un solo cambio di direzione per coprirsi. I piloti che si sentiranno ostacolati da tali comportamenti sono invitati a mandare il video di reclamo.</t>
  </si>
  <si>
    <t>5 secondi</t>
  </si>
  <si>
    <t>Per il contatto alla curva 1 del giro 34</t>
  </si>
  <si>
    <t>Per il contatto alla curva 5 del giro 29</t>
  </si>
  <si>
    <t>Per il contatto alla curva 3 del giro 1</t>
  </si>
  <si>
    <t>POST GARA 2</t>
  </si>
  <si>
    <t>LOBBY GARA 3</t>
  </si>
  <si>
    <t>sigla</t>
  </si>
  <si>
    <t>GTRC</t>
  </si>
  <si>
    <t>DRT</t>
  </si>
  <si>
    <t>RMT</t>
  </si>
  <si>
    <t>CSC</t>
  </si>
  <si>
    <t>DCT</t>
  </si>
  <si>
    <t>BAD</t>
  </si>
  <si>
    <t>TLMA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</si>
</sst>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b/>
      <sz val="14"/>
      <color theme="1"/>
      <name val="Agency FB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0" fontId="22" fillId="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8" fillId="12" borderId="1" xfId="0" applyFont="1" applyFill="1" applyBorder="1" applyAlignment="1">
      <alignment horizontal="center" vertical="center"/>
    </xf>
    <xf numFmtId="49" fontId="28" fillId="12" borderId="1" xfId="0" applyNumberFormat="1" applyFont="1" applyFill="1" applyBorder="1" applyAlignment="1">
      <alignment horizontal="center" vertical="center"/>
    </xf>
    <xf numFmtId="0" fontId="28" fillId="14" borderId="1" xfId="0" applyFont="1" applyFill="1" applyBorder="1" applyAlignment="1">
      <alignment horizontal="center" vertical="center"/>
    </xf>
    <xf numFmtId="0" fontId="29" fillId="13" borderId="0" xfId="0" applyFont="1" applyFill="1" applyAlignment="1">
      <alignment vertical="center"/>
    </xf>
    <xf numFmtId="0" fontId="28" fillId="2" borderId="1" xfId="0" applyFont="1" applyFill="1" applyBorder="1" applyAlignment="1">
      <alignment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30" fillId="2" borderId="11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0" fontId="30" fillId="2" borderId="12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  <xf numFmtId="0" fontId="33" fillId="13" borderId="0" xfId="0" applyFont="1" applyFill="1" applyAlignment="1">
      <alignment horizontal="center" vertical="center"/>
    </xf>
    <xf numFmtId="0" fontId="26" fillId="13" borderId="2" xfId="0" applyFont="1" applyFill="1" applyBorder="1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31" fillId="15" borderId="6" xfId="0" applyFont="1" applyFill="1" applyBorder="1" applyAlignment="1">
      <alignment horizontal="center"/>
    </xf>
    <xf numFmtId="0" fontId="31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0" fillId="13" borderId="0" xfId="0" applyFill="1"/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254000</xdr:colOff>
      <xdr:row>14</xdr:row>
      <xdr:rowOff>101600</xdr:rowOff>
    </xdr:from>
    <xdr:to>
      <xdr:col>6</xdr:col>
      <xdr:colOff>3392424</xdr:colOff>
      <xdr:row>34</xdr:row>
      <xdr:rowOff>101600</xdr:rowOff>
    </xdr:to>
    <xdr:pic>
      <xdr:nvPicPr>
        <xdr:cNvPr id="4" name="Immagine 3" descr="Road Atlanta and HP Composites">
          <a:extLst>
            <a:ext uri="{FF2B5EF4-FFF2-40B4-BE49-F238E27FC236}">
              <a16:creationId xmlns:a16="http://schemas.microsoft.com/office/drawing/2014/main" id="{E664F59E-8DC2-11EE-199A-ECC05413B4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5334000"/>
          <a:ext cx="8396224" cy="4064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zoomScale="94" zoomScaleNormal="94" workbookViewId="0">
      <selection activeCell="C3" sqref="C1:C1048576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93" t="s">
        <v>95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33" ht="22" customHeight="1" x14ac:dyDescent="0.2">
      <c r="A2" s="92" t="s">
        <v>0</v>
      </c>
      <c r="B2" s="94" t="s">
        <v>14</v>
      </c>
      <c r="C2" s="95" t="s">
        <v>46</v>
      </c>
      <c r="D2" s="96"/>
      <c r="E2" s="96"/>
      <c r="F2" s="97"/>
      <c r="G2" s="95" t="s">
        <v>40</v>
      </c>
      <c r="H2" s="96"/>
      <c r="I2" s="96"/>
      <c r="J2" s="97"/>
      <c r="K2" s="95" t="s">
        <v>47</v>
      </c>
      <c r="L2" s="96"/>
      <c r="M2" s="96"/>
      <c r="N2" s="97"/>
      <c r="O2" s="95" t="s">
        <v>39</v>
      </c>
      <c r="P2" s="96"/>
      <c r="Q2" s="96"/>
      <c r="R2" s="97"/>
      <c r="S2" s="95" t="s">
        <v>41</v>
      </c>
      <c r="T2" s="96"/>
      <c r="U2" s="96"/>
      <c r="V2" s="97"/>
      <c r="W2" s="95" t="s">
        <v>48</v>
      </c>
      <c r="X2" s="96"/>
      <c r="Y2" s="96"/>
      <c r="Z2" s="97"/>
      <c r="AA2" s="98" t="s">
        <v>34</v>
      </c>
    </row>
    <row r="3" spans="1:33" ht="22" customHeight="1" x14ac:dyDescent="0.2">
      <c r="A3" s="92"/>
      <c r="B3" s="94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98"/>
    </row>
    <row r="4" spans="1:33" ht="19" customHeight="1" x14ac:dyDescent="0.2">
      <c r="A4" s="88" t="s">
        <v>30</v>
      </c>
      <c r="B4" s="89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51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/>
      <c r="M5" s="12"/>
      <c r="N5" s="47">
        <f>SUM(K5:M5)</f>
        <v>0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9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52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/>
      <c r="M6" s="12"/>
      <c r="N6" s="47">
        <f t="shared" ref="N6:N18" si="2">SUM(K6:M6)</f>
        <v>0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14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53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/>
      <c r="M7" s="12"/>
      <c r="N7" s="47">
        <f t="shared" si="2"/>
        <v>0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18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54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/>
      <c r="M8" s="12"/>
      <c r="N8" s="47">
        <f t="shared" si="2"/>
        <v>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32</v>
      </c>
      <c r="AF8">
        <v>5</v>
      </c>
      <c r="AG8">
        <v>14</v>
      </c>
    </row>
    <row r="9" spans="1:33" ht="19" customHeight="1" x14ac:dyDescent="0.25">
      <c r="A9" s="28" t="s">
        <v>6</v>
      </c>
      <c r="B9" s="59" t="s">
        <v>55</v>
      </c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56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/>
      <c r="M10" s="20"/>
      <c r="N10" s="47">
        <f t="shared" si="2"/>
        <v>0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28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57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/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58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/>
      <c r="M12" s="20"/>
      <c r="N12" s="47">
        <f t="shared" si="9"/>
        <v>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23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59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60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61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/>
      <c r="L15" s="12"/>
      <c r="M15" s="12"/>
      <c r="N15" s="47">
        <f t="shared" si="2"/>
        <v>0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54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32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/>
      <c r="M16" s="20"/>
      <c r="N16" s="47">
        <f t="shared" si="2"/>
        <v>0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30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62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/>
      <c r="M17" s="20"/>
      <c r="N17" s="47">
        <f t="shared" si="2"/>
        <v>0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18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63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/>
      <c r="M18" s="20"/>
      <c r="N18" s="47">
        <f t="shared" si="2"/>
        <v>0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16</v>
      </c>
      <c r="AD18" s="38"/>
      <c r="AE18" s="38"/>
      <c r="AF18" t="s">
        <v>44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90" t="s">
        <v>31</v>
      </c>
      <c r="B19" s="91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45</v>
      </c>
      <c r="AG19">
        <v>1</v>
      </c>
    </row>
    <row r="20" spans="1:16358" ht="19" customHeight="1" x14ac:dyDescent="0.25">
      <c r="A20" s="3" t="s">
        <v>2</v>
      </c>
      <c r="B20" s="59" t="s">
        <v>64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/>
      <c r="M20" s="12"/>
      <c r="N20" s="47">
        <f>SUM(K20:M20)</f>
        <v>0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16</v>
      </c>
    </row>
    <row r="21" spans="1:16358" ht="19" customHeight="1" x14ac:dyDescent="0.25">
      <c r="A21" s="4" t="s">
        <v>3</v>
      </c>
      <c r="B21" s="59" t="s">
        <v>65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/>
      <c r="M21" s="12"/>
      <c r="N21" s="47">
        <f t="shared" ref="N21:N33" si="16">SUM(K21:M21)</f>
        <v>0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5</v>
      </c>
      <c r="AD21" s="59" t="s">
        <v>70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66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/>
      <c r="M22" s="12"/>
      <c r="N22" s="47">
        <f t="shared" si="16"/>
        <v>0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5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68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88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383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/>
      <c r="M25" s="20"/>
      <c r="N25" s="47">
        <f t="shared" si="16"/>
        <v>0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25</v>
      </c>
    </row>
    <row r="26" spans="1:16358" ht="19" customHeight="1" x14ac:dyDescent="0.25">
      <c r="A26" s="5" t="s">
        <v>8</v>
      </c>
      <c r="B26" s="59" t="s">
        <v>69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/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38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/>
      <c r="M27" s="20"/>
      <c r="N27" s="47">
        <f t="shared" si="16"/>
        <v>0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13</v>
      </c>
    </row>
    <row r="28" spans="1:16358" ht="19" customHeight="1" x14ac:dyDescent="0.25">
      <c r="A28" s="5" t="s">
        <v>10</v>
      </c>
      <c r="B28" s="59" t="s">
        <v>90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/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70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/>
      <c r="L29" s="12"/>
      <c r="M29" s="12"/>
      <c r="N29" s="47">
        <f t="shared" si="16"/>
        <v>0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40</v>
      </c>
    </row>
    <row r="30" spans="1:16358" ht="19" customHeight="1" x14ac:dyDescent="0.25">
      <c r="A30" s="5" t="s">
        <v>12</v>
      </c>
      <c r="B30" s="59" t="s">
        <v>71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/>
      <c r="M30" s="12"/>
      <c r="N30" s="47">
        <f t="shared" si="16"/>
        <v>0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33</v>
      </c>
      <c r="AL30" t="s">
        <v>258</v>
      </c>
    </row>
    <row r="31" spans="1:16358" ht="19" customHeight="1" x14ac:dyDescent="0.25">
      <c r="A31" s="5" t="s">
        <v>13</v>
      </c>
      <c r="B31" s="59" t="s">
        <v>72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/>
      <c r="M31" s="20"/>
      <c r="N31" s="47">
        <f t="shared" si="16"/>
        <v>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51</v>
      </c>
      <c r="AI31" s="59" t="s">
        <v>70</v>
      </c>
    </row>
    <row r="32" spans="1:16358" ht="19" customHeight="1" x14ac:dyDescent="0.25">
      <c r="A32" s="5" t="s">
        <v>20</v>
      </c>
      <c r="B32" s="59" t="s">
        <v>368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/>
      <c r="M32" s="20"/>
      <c r="N32" s="47">
        <f t="shared" si="16"/>
        <v>0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30</v>
      </c>
    </row>
    <row r="33" spans="1:35" ht="19" customHeight="1" x14ac:dyDescent="0.25">
      <c r="A33" s="5" t="s">
        <v>21</v>
      </c>
      <c r="B33" s="59" t="s">
        <v>73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/>
      <c r="M33" s="20"/>
      <c r="N33" s="47">
        <f t="shared" si="16"/>
        <v>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8</v>
      </c>
    </row>
    <row r="34" spans="1:35" ht="19" customHeight="1" x14ac:dyDescent="0.2">
      <c r="A34" s="88" t="s">
        <v>49</v>
      </c>
      <c r="B34" s="8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74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/>
      <c r="M35" s="12"/>
      <c r="N35" s="47">
        <f>SUM(K35:M35)</f>
        <v>0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34</v>
      </c>
    </row>
    <row r="36" spans="1:35" ht="19" customHeight="1" x14ac:dyDescent="0.25">
      <c r="A36" s="26" t="s">
        <v>3</v>
      </c>
      <c r="B36" s="59" t="s">
        <v>75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76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/>
      <c r="M37" s="12"/>
      <c r="N37" s="47">
        <f t="shared" si="41"/>
        <v>0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16</v>
      </c>
    </row>
    <row r="38" spans="1:35" ht="19" customHeight="1" x14ac:dyDescent="0.25">
      <c r="A38" s="28" t="s">
        <v>5</v>
      </c>
      <c r="B38" s="59" t="s">
        <v>303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/>
      <c r="M38" s="12"/>
      <c r="N38" s="47">
        <f t="shared" si="41"/>
        <v>0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8</v>
      </c>
    </row>
    <row r="39" spans="1:35" ht="19" customHeight="1" x14ac:dyDescent="0.25">
      <c r="A39" s="28" t="s">
        <v>6</v>
      </c>
      <c r="B39" s="59" t="s">
        <v>77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/>
      <c r="M39" s="12"/>
      <c r="N39" s="47">
        <f t="shared" si="41"/>
        <v>0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3</v>
      </c>
    </row>
    <row r="40" spans="1:35" ht="19" customHeight="1" x14ac:dyDescent="0.25">
      <c r="A40" s="28" t="s">
        <v>7</v>
      </c>
      <c r="B40" s="59" t="s">
        <v>78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/>
      <c r="M40" s="20"/>
      <c r="N40" s="47">
        <f t="shared" si="41"/>
        <v>0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34</v>
      </c>
    </row>
    <row r="41" spans="1:35" ht="19" customHeight="1" x14ac:dyDescent="0.25">
      <c r="A41" s="5" t="s">
        <v>8</v>
      </c>
      <c r="B41" s="59" t="s">
        <v>79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/>
      <c r="M41" s="12"/>
      <c r="N41" s="47">
        <f t="shared" ref="N41:N42" si="48">SUM(K41:M41)</f>
        <v>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30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341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/>
      <c r="M42" s="20"/>
      <c r="N42" s="47">
        <f t="shared" si="48"/>
        <v>0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11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36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/>
      <c r="M43" s="12"/>
      <c r="N43" s="47">
        <f t="shared" si="41"/>
        <v>0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5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80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/>
      <c r="L44" s="20"/>
      <c r="M44" s="20"/>
      <c r="N44" s="47">
        <f t="shared" si="41"/>
        <v>0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54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43</v>
      </c>
      <c r="C45" s="49"/>
      <c r="D45" s="20"/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/>
      <c r="M45" s="12"/>
      <c r="N45" s="47">
        <f t="shared" si="41"/>
        <v>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20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81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/>
      <c r="M46" s="20"/>
      <c r="N46" s="47">
        <f t="shared" si="41"/>
        <v>0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30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82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83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90" t="s">
        <v>50</v>
      </c>
      <c r="B49" s="91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84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/>
      <c r="M50" s="12"/>
      <c r="N50" s="47">
        <f>SUM(K50:M50)</f>
        <v>0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32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33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/>
      <c r="M51" s="12"/>
      <c r="N51" s="47">
        <f t="shared" ref="N51:N55" si="56">SUM(K51:M51)</f>
        <v>0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7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85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/>
      <c r="M52" s="12"/>
      <c r="N52" s="47">
        <f t="shared" si="56"/>
        <v>0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20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94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139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/>
      <c r="M54" s="12"/>
      <c r="N54" s="47">
        <f t="shared" si="56"/>
        <v>0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16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93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44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86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/>
      <c r="L56" s="12"/>
      <c r="M56" s="12"/>
      <c r="N56" s="47">
        <f t="shared" ref="N56:N59" si="63">SUM(K56:M56)</f>
        <v>0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48</v>
      </c>
      <c r="AH56" t="s">
        <v>45</v>
      </c>
      <c r="AI56">
        <v>1</v>
      </c>
    </row>
    <row r="57" spans="1:36" ht="19" customHeight="1" x14ac:dyDescent="0.25">
      <c r="A57" s="44" t="s">
        <v>9</v>
      </c>
      <c r="B57" s="59" t="s">
        <v>87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/>
      <c r="M57" s="20"/>
      <c r="N57" s="47">
        <f t="shared" si="63"/>
        <v>0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6</v>
      </c>
    </row>
    <row r="58" spans="1:36" ht="19" customHeight="1" x14ac:dyDescent="0.25">
      <c r="A58" s="5" t="s">
        <v>10</v>
      </c>
      <c r="B58" s="59" t="s">
        <v>88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/>
      <c r="M58" s="20"/>
      <c r="N58" s="47">
        <f t="shared" si="63"/>
        <v>0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30</v>
      </c>
    </row>
    <row r="59" spans="1:36" ht="19" customHeight="1" x14ac:dyDescent="0.25">
      <c r="A59" s="5" t="s">
        <v>11</v>
      </c>
      <c r="B59" s="59" t="s">
        <v>89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/>
      <c r="M59" s="20"/>
      <c r="N59" s="47">
        <f t="shared" si="63"/>
        <v>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10</v>
      </c>
    </row>
    <row r="60" spans="1:36" ht="19" customHeight="1" x14ac:dyDescent="0.25">
      <c r="A60" s="5" t="s">
        <v>12</v>
      </c>
      <c r="B60" s="59" t="s">
        <v>405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/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170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/>
      <c r="M61" s="20"/>
      <c r="N61" s="47">
        <f t="shared" si="70"/>
        <v>0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26</v>
      </c>
    </row>
    <row r="62" spans="1:36" ht="19" customHeight="1" x14ac:dyDescent="0.25">
      <c r="A62" s="5" t="s">
        <v>20</v>
      </c>
      <c r="B62" s="59" t="s">
        <v>91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/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92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/>
      <c r="M63" s="20"/>
      <c r="N63" s="47">
        <f t="shared" si="70"/>
        <v>0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20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99" t="s">
        <v>42</v>
      </c>
      <c r="B66" s="100"/>
      <c r="C66" s="95" t="s">
        <v>46</v>
      </c>
      <c r="D66" s="96"/>
      <c r="E66" s="96"/>
      <c r="F66" s="97"/>
      <c r="G66" s="95" t="s">
        <v>40</v>
      </c>
      <c r="H66" s="96"/>
      <c r="I66" s="96"/>
      <c r="J66" s="97"/>
      <c r="K66" s="95" t="s">
        <v>47</v>
      </c>
      <c r="L66" s="96"/>
      <c r="M66" s="96"/>
      <c r="N66" s="97"/>
      <c r="O66" s="95" t="s">
        <v>39</v>
      </c>
      <c r="P66" s="96"/>
      <c r="Q66" s="96"/>
      <c r="R66" s="97"/>
      <c r="S66" s="95" t="s">
        <v>41</v>
      </c>
      <c r="T66" s="96"/>
      <c r="U66" s="96"/>
      <c r="V66" s="97"/>
      <c r="W66" s="95" t="s">
        <v>48</v>
      </c>
      <c r="X66" s="96"/>
      <c r="Y66" s="96"/>
      <c r="Z66" s="97"/>
      <c r="AA66" s="98" t="s">
        <v>34</v>
      </c>
    </row>
    <row r="67" spans="1:27" ht="27" x14ac:dyDescent="0.2">
      <c r="A67" s="101"/>
      <c r="B67" s="102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98"/>
    </row>
    <row r="68" spans="1:27" ht="18" x14ac:dyDescent="0.25">
      <c r="A68" s="28">
        <v>1</v>
      </c>
      <c r="B68" s="59" t="s">
        <v>51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0</v>
      </c>
      <c r="M68" s="12">
        <f t="shared" si="75"/>
        <v>0</v>
      </c>
      <c r="N68" s="47">
        <f t="shared" si="75"/>
        <v>0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9</v>
      </c>
    </row>
    <row r="69" spans="1:27" ht="18" x14ac:dyDescent="0.25">
      <c r="A69" s="28">
        <v>2</v>
      </c>
      <c r="B69" s="59" t="s">
        <v>52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0</v>
      </c>
      <c r="M69" s="12">
        <f t="shared" si="76"/>
        <v>0</v>
      </c>
      <c r="N69" s="47">
        <f t="shared" si="76"/>
        <v>0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14</v>
      </c>
    </row>
    <row r="70" spans="1:27" ht="18" x14ac:dyDescent="0.25">
      <c r="A70" s="28">
        <v>3</v>
      </c>
      <c r="B70" s="59" t="s">
        <v>53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0</v>
      </c>
      <c r="M70" s="12">
        <f t="shared" si="77"/>
        <v>0</v>
      </c>
      <c r="N70" s="47">
        <f t="shared" si="77"/>
        <v>0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18</v>
      </c>
    </row>
    <row r="71" spans="1:27" ht="18" x14ac:dyDescent="0.25">
      <c r="A71" s="28">
        <v>4</v>
      </c>
      <c r="B71" s="59" t="s">
        <v>54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0</v>
      </c>
      <c r="M71" s="12">
        <f t="shared" si="78"/>
        <v>0</v>
      </c>
      <c r="N71" s="47">
        <f t="shared" si="78"/>
        <v>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32</v>
      </c>
    </row>
    <row r="72" spans="1:27" ht="18" x14ac:dyDescent="0.25">
      <c r="A72" s="28">
        <v>5</v>
      </c>
      <c r="B72" s="59" t="s">
        <v>55</v>
      </c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56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0</v>
      </c>
      <c r="M73" s="20">
        <f t="shared" si="80"/>
        <v>0</v>
      </c>
      <c r="N73" s="47">
        <f t="shared" si="80"/>
        <v>0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28</v>
      </c>
    </row>
    <row r="74" spans="1:27" ht="18" x14ac:dyDescent="0.25">
      <c r="A74" s="28">
        <v>7</v>
      </c>
      <c r="B74" s="59" t="s">
        <v>57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58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0</v>
      </c>
      <c r="M75" s="43">
        <f t="shared" si="82"/>
        <v>0</v>
      </c>
      <c r="N75" s="48">
        <f t="shared" si="82"/>
        <v>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23</v>
      </c>
    </row>
    <row r="76" spans="1:27" ht="18" x14ac:dyDescent="0.25">
      <c r="A76" s="28">
        <v>9</v>
      </c>
      <c r="B76" s="59" t="s">
        <v>59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60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61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0</v>
      </c>
      <c r="L78" s="12">
        <f t="shared" si="85"/>
        <v>0</v>
      </c>
      <c r="M78" s="12">
        <f t="shared" si="85"/>
        <v>0</v>
      </c>
      <c r="N78" s="47">
        <f t="shared" si="85"/>
        <v>0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54</v>
      </c>
    </row>
    <row r="79" spans="1:27" ht="18" x14ac:dyDescent="0.25">
      <c r="A79" s="28">
        <v>12</v>
      </c>
      <c r="B79" s="59" t="s">
        <v>32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0</v>
      </c>
      <c r="M79" s="20">
        <f t="shared" si="86"/>
        <v>0</v>
      </c>
      <c r="N79" s="47">
        <f t="shared" si="86"/>
        <v>0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30</v>
      </c>
    </row>
    <row r="80" spans="1:27" ht="18" x14ac:dyDescent="0.25">
      <c r="A80" s="28">
        <v>13</v>
      </c>
      <c r="B80" s="59" t="s">
        <v>62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0</v>
      </c>
      <c r="M80" s="12">
        <f t="shared" si="87"/>
        <v>0</v>
      </c>
      <c r="N80" s="47">
        <f t="shared" si="87"/>
        <v>0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18</v>
      </c>
    </row>
    <row r="81" spans="1:27" ht="18" x14ac:dyDescent="0.25">
      <c r="A81" s="28">
        <v>14</v>
      </c>
      <c r="B81" s="60" t="s">
        <v>63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0</v>
      </c>
      <c r="M81" s="12">
        <f t="shared" si="88"/>
        <v>0</v>
      </c>
      <c r="N81" s="47">
        <f t="shared" si="88"/>
        <v>0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16</v>
      </c>
    </row>
    <row r="82" spans="1:27" ht="18" x14ac:dyDescent="0.25">
      <c r="A82" s="28">
        <v>15</v>
      </c>
      <c r="B82" s="59" t="s">
        <v>64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0</v>
      </c>
      <c r="M82" s="12">
        <f t="shared" si="89"/>
        <v>0</v>
      </c>
      <c r="N82" s="47">
        <f t="shared" si="89"/>
        <v>0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16</v>
      </c>
    </row>
    <row r="83" spans="1:27" ht="18" x14ac:dyDescent="0.25">
      <c r="A83" s="28">
        <v>16</v>
      </c>
      <c r="B83" s="59" t="s">
        <v>65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0</v>
      </c>
      <c r="M83" s="12">
        <f t="shared" si="90"/>
        <v>0</v>
      </c>
      <c r="N83" s="47">
        <f t="shared" si="90"/>
        <v>0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5</v>
      </c>
    </row>
    <row r="84" spans="1:27" ht="18" x14ac:dyDescent="0.25">
      <c r="A84" s="28">
        <v>17</v>
      </c>
      <c r="B84" s="59" t="s">
        <v>66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0</v>
      </c>
      <c r="M84" s="12">
        <f t="shared" si="91"/>
        <v>0</v>
      </c>
      <c r="N84" s="47">
        <f t="shared" si="91"/>
        <v>0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5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68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383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0</v>
      </c>
      <c r="M87" s="12">
        <f t="shared" si="94"/>
        <v>0</v>
      </c>
      <c r="N87" s="47">
        <f t="shared" si="94"/>
        <v>0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25</v>
      </c>
    </row>
    <row r="88" spans="1:27" ht="18" x14ac:dyDescent="0.25">
      <c r="A88" s="28">
        <v>21</v>
      </c>
      <c r="B88" s="59" t="s">
        <v>69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38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0</v>
      </c>
      <c r="M89" s="12">
        <f t="shared" si="96"/>
        <v>0</v>
      </c>
      <c r="N89" s="47">
        <f t="shared" si="96"/>
        <v>0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13</v>
      </c>
    </row>
    <row r="90" spans="1:27" ht="18" x14ac:dyDescent="0.25">
      <c r="A90" s="28">
        <v>23</v>
      </c>
      <c r="B90" s="59" t="s">
        <v>90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70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0</v>
      </c>
      <c r="L91" s="12">
        <f t="shared" si="98"/>
        <v>0</v>
      </c>
      <c r="M91" s="12">
        <f t="shared" si="98"/>
        <v>0</v>
      </c>
      <c r="N91" s="47">
        <f t="shared" si="98"/>
        <v>0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40</v>
      </c>
    </row>
    <row r="92" spans="1:27" ht="18" x14ac:dyDescent="0.25">
      <c r="A92" s="28">
        <v>25</v>
      </c>
      <c r="B92" s="59" t="s">
        <v>71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0</v>
      </c>
      <c r="M92" s="12">
        <f t="shared" si="99"/>
        <v>0</v>
      </c>
      <c r="N92" s="47">
        <f t="shared" si="99"/>
        <v>0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33</v>
      </c>
    </row>
    <row r="93" spans="1:27" ht="18" x14ac:dyDescent="0.25">
      <c r="A93" s="28">
        <v>26</v>
      </c>
      <c r="B93" s="59" t="s">
        <v>72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0</v>
      </c>
      <c r="M93" s="12">
        <f t="shared" si="100"/>
        <v>0</v>
      </c>
      <c r="N93" s="47">
        <f t="shared" si="100"/>
        <v>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51</v>
      </c>
    </row>
    <row r="94" spans="1:27" ht="18" x14ac:dyDescent="0.25">
      <c r="A94" s="28">
        <v>27</v>
      </c>
      <c r="B94" s="59" t="s">
        <v>368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0</v>
      </c>
      <c r="M94" s="12">
        <f t="shared" si="101"/>
        <v>0</v>
      </c>
      <c r="N94" s="47">
        <f t="shared" si="101"/>
        <v>0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30</v>
      </c>
    </row>
    <row r="95" spans="1:27" ht="18" x14ac:dyDescent="0.25">
      <c r="A95" s="28">
        <v>28</v>
      </c>
      <c r="B95" s="59" t="s">
        <v>73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0</v>
      </c>
      <c r="M95" s="12">
        <f t="shared" si="102"/>
        <v>0</v>
      </c>
      <c r="N95" s="47">
        <f t="shared" si="102"/>
        <v>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8</v>
      </c>
    </row>
    <row r="96" spans="1:27" ht="18" x14ac:dyDescent="0.25">
      <c r="A96" s="28">
        <v>29</v>
      </c>
      <c r="B96" s="59" t="s">
        <v>74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0</v>
      </c>
      <c r="M96" s="12">
        <f t="shared" si="103"/>
        <v>0</v>
      </c>
      <c r="N96" s="47">
        <f t="shared" si="103"/>
        <v>0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34</v>
      </c>
    </row>
    <row r="97" spans="1:27" ht="18" x14ac:dyDescent="0.25">
      <c r="A97" s="28">
        <v>30</v>
      </c>
      <c r="B97" s="59" t="s">
        <v>75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76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0</v>
      </c>
      <c r="M98" s="12">
        <f t="shared" si="105"/>
        <v>0</v>
      </c>
      <c r="N98" s="47">
        <f t="shared" si="105"/>
        <v>0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16</v>
      </c>
    </row>
    <row r="99" spans="1:27" ht="18" x14ac:dyDescent="0.25">
      <c r="A99" s="28">
        <v>32</v>
      </c>
      <c r="B99" s="59" t="s">
        <v>303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0</v>
      </c>
      <c r="M99" s="12">
        <f t="shared" si="106"/>
        <v>0</v>
      </c>
      <c r="N99" s="47">
        <f t="shared" si="106"/>
        <v>0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8</v>
      </c>
    </row>
    <row r="100" spans="1:27" ht="18" x14ac:dyDescent="0.25">
      <c r="A100" s="28">
        <v>33</v>
      </c>
      <c r="B100" s="59" t="s">
        <v>77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0</v>
      </c>
      <c r="M100" s="12">
        <f t="shared" si="107"/>
        <v>0</v>
      </c>
      <c r="N100" s="47">
        <f t="shared" si="107"/>
        <v>0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3</v>
      </c>
    </row>
    <row r="101" spans="1:27" ht="18" x14ac:dyDescent="0.25">
      <c r="A101" s="28">
        <v>34</v>
      </c>
      <c r="B101" s="59" t="s">
        <v>78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0</v>
      </c>
      <c r="M101" s="12">
        <f t="shared" si="108"/>
        <v>0</v>
      </c>
      <c r="N101" s="47">
        <f t="shared" si="108"/>
        <v>0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34</v>
      </c>
    </row>
    <row r="102" spans="1:27" ht="18" x14ac:dyDescent="0.25">
      <c r="A102" s="28">
        <v>35</v>
      </c>
      <c r="B102" s="59" t="s">
        <v>79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0</v>
      </c>
      <c r="M102" s="12">
        <f t="shared" si="109"/>
        <v>0</v>
      </c>
      <c r="N102" s="47">
        <f t="shared" si="109"/>
        <v>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30</v>
      </c>
    </row>
    <row r="103" spans="1:27" ht="18" x14ac:dyDescent="0.25">
      <c r="A103" s="28">
        <v>36</v>
      </c>
      <c r="B103" s="59" t="s">
        <v>341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0</v>
      </c>
      <c r="M103" s="12">
        <f t="shared" si="110"/>
        <v>0</v>
      </c>
      <c r="N103" s="47">
        <f t="shared" si="110"/>
        <v>0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11</v>
      </c>
    </row>
    <row r="104" spans="1:27" ht="18" x14ac:dyDescent="0.25">
      <c r="A104" s="28">
        <v>37</v>
      </c>
      <c r="B104" s="59" t="s">
        <v>36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0</v>
      </c>
      <c r="M104" s="12">
        <f t="shared" si="111"/>
        <v>0</v>
      </c>
      <c r="N104" s="47">
        <f t="shared" si="111"/>
        <v>0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5</v>
      </c>
    </row>
    <row r="105" spans="1:27" ht="18" x14ac:dyDescent="0.25">
      <c r="A105" s="28">
        <v>38</v>
      </c>
      <c r="B105" s="59" t="s">
        <v>80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0</v>
      </c>
      <c r="L105" s="12">
        <f t="shared" si="112"/>
        <v>0</v>
      </c>
      <c r="M105" s="12">
        <f t="shared" si="112"/>
        <v>0</v>
      </c>
      <c r="N105" s="47">
        <f t="shared" si="112"/>
        <v>0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54</v>
      </c>
    </row>
    <row r="106" spans="1:27" ht="18" x14ac:dyDescent="0.25">
      <c r="A106" s="28">
        <v>39</v>
      </c>
      <c r="B106" s="59" t="s">
        <v>43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0</v>
      </c>
      <c r="M106" s="12">
        <f t="shared" si="113"/>
        <v>0</v>
      </c>
      <c r="N106" s="47">
        <f t="shared" si="113"/>
        <v>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20</v>
      </c>
    </row>
    <row r="107" spans="1:27" ht="18" x14ac:dyDescent="0.25">
      <c r="A107" s="28">
        <v>40</v>
      </c>
      <c r="B107" s="59" t="s">
        <v>81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0</v>
      </c>
      <c r="M107" s="12">
        <f t="shared" si="114"/>
        <v>0</v>
      </c>
      <c r="N107" s="47">
        <f t="shared" si="114"/>
        <v>0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30</v>
      </c>
    </row>
    <row r="108" spans="1:27" ht="18" x14ac:dyDescent="0.25">
      <c r="A108" s="28">
        <v>41</v>
      </c>
      <c r="B108" s="59" t="s">
        <v>82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83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84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0</v>
      </c>
      <c r="M110" s="12">
        <f t="shared" si="117"/>
        <v>0</v>
      </c>
      <c r="N110" s="47">
        <f t="shared" si="117"/>
        <v>0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32</v>
      </c>
    </row>
    <row r="111" spans="1:27" ht="18" x14ac:dyDescent="0.25">
      <c r="A111" s="28">
        <v>44</v>
      </c>
      <c r="B111" s="59" t="s">
        <v>33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0</v>
      </c>
      <c r="M111" s="12">
        <f t="shared" si="118"/>
        <v>0</v>
      </c>
      <c r="N111" s="47">
        <f t="shared" si="118"/>
        <v>0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7</v>
      </c>
    </row>
    <row r="112" spans="1:27" ht="18" x14ac:dyDescent="0.25">
      <c r="A112" s="28">
        <v>45</v>
      </c>
      <c r="B112" s="59" t="s">
        <v>85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0</v>
      </c>
      <c r="M112" s="12">
        <f t="shared" si="119"/>
        <v>0</v>
      </c>
      <c r="N112" s="47">
        <f t="shared" si="119"/>
        <v>0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20</v>
      </c>
    </row>
    <row r="113" spans="1:27" ht="18" x14ac:dyDescent="0.25">
      <c r="A113" s="28">
        <v>46</v>
      </c>
      <c r="B113" s="61" t="s">
        <v>94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139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0</v>
      </c>
      <c r="M114" s="12">
        <f t="shared" si="121"/>
        <v>0</v>
      </c>
      <c r="N114" s="47">
        <f t="shared" si="121"/>
        <v>0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16</v>
      </c>
    </row>
    <row r="115" spans="1:27" ht="18" x14ac:dyDescent="0.25">
      <c r="A115" s="28">
        <v>48</v>
      </c>
      <c r="B115" s="59" t="s">
        <v>93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86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0</v>
      </c>
      <c r="L116" s="12">
        <f t="shared" si="123"/>
        <v>0</v>
      </c>
      <c r="M116" s="12">
        <f t="shared" si="123"/>
        <v>0</v>
      </c>
      <c r="N116" s="47">
        <f t="shared" si="123"/>
        <v>0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48</v>
      </c>
    </row>
    <row r="117" spans="1:27" ht="18" x14ac:dyDescent="0.25">
      <c r="A117" s="28">
        <v>50</v>
      </c>
      <c r="B117" s="59" t="s">
        <v>87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0</v>
      </c>
      <c r="M117" s="12">
        <f t="shared" si="124"/>
        <v>0</v>
      </c>
      <c r="N117" s="47">
        <f t="shared" si="124"/>
        <v>0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6</v>
      </c>
    </row>
    <row r="118" spans="1:27" ht="18" x14ac:dyDescent="0.25">
      <c r="A118" s="28">
        <v>51</v>
      </c>
      <c r="B118" s="59" t="s">
        <v>88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0</v>
      </c>
      <c r="M118" s="12">
        <f t="shared" si="125"/>
        <v>0</v>
      </c>
      <c r="N118" s="47">
        <f t="shared" si="125"/>
        <v>0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30</v>
      </c>
    </row>
    <row r="119" spans="1:27" ht="18" x14ac:dyDescent="0.25">
      <c r="A119" s="28">
        <v>52</v>
      </c>
      <c r="B119" s="59" t="s">
        <v>89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0</v>
      </c>
      <c r="M119" s="12">
        <f t="shared" si="126"/>
        <v>0</v>
      </c>
      <c r="N119" s="47">
        <f t="shared" si="126"/>
        <v>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10</v>
      </c>
    </row>
    <row r="120" spans="1:27" ht="18" x14ac:dyDescent="0.25">
      <c r="A120" s="28">
        <v>53</v>
      </c>
      <c r="B120" s="59" t="s">
        <v>405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170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0</v>
      </c>
      <c r="M121" s="12">
        <f t="shared" si="128"/>
        <v>0</v>
      </c>
      <c r="N121" s="47">
        <f t="shared" si="128"/>
        <v>0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26</v>
      </c>
    </row>
    <row r="122" spans="1:27" ht="18" x14ac:dyDescent="0.25">
      <c r="A122" s="28">
        <v>55</v>
      </c>
      <c r="B122" s="59" t="s">
        <v>91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92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0</v>
      </c>
      <c r="M123" s="12">
        <f t="shared" si="130"/>
        <v>0</v>
      </c>
      <c r="N123" s="47">
        <f t="shared" si="130"/>
        <v>0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20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workbookViewId="0">
      <selection activeCell="G17" sqref="G17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96</v>
      </c>
      <c r="B1" t="s">
        <v>22</v>
      </c>
      <c r="C1" t="s">
        <v>16</v>
      </c>
      <c r="D1" t="s">
        <v>97</v>
      </c>
      <c r="E1" t="s">
        <v>98</v>
      </c>
      <c r="F1" t="s">
        <v>99</v>
      </c>
      <c r="G1" t="s">
        <v>416</v>
      </c>
      <c r="H1" t="s">
        <v>100</v>
      </c>
      <c r="I1" t="s">
        <v>101</v>
      </c>
    </row>
    <row r="2" spans="1:9" x14ac:dyDescent="0.2">
      <c r="A2">
        <v>1</v>
      </c>
      <c r="B2" t="s">
        <v>78</v>
      </c>
      <c r="C2" t="s">
        <v>102</v>
      </c>
      <c r="D2" t="s">
        <v>103</v>
      </c>
      <c r="E2" t="s">
        <v>104</v>
      </c>
      <c r="F2" t="s">
        <v>105</v>
      </c>
      <c r="G2" t="s">
        <v>130</v>
      </c>
      <c r="H2" t="s">
        <v>106</v>
      </c>
      <c r="I2" t="s">
        <v>107</v>
      </c>
    </row>
    <row r="3" spans="1:9" x14ac:dyDescent="0.2">
      <c r="A3">
        <v>2</v>
      </c>
      <c r="B3" t="s">
        <v>56</v>
      </c>
      <c r="C3" t="s">
        <v>108</v>
      </c>
      <c r="D3" t="s">
        <v>103</v>
      </c>
      <c r="E3" t="s">
        <v>109</v>
      </c>
      <c r="F3" t="s">
        <v>110</v>
      </c>
      <c r="G3" t="s">
        <v>130</v>
      </c>
      <c r="H3" t="s">
        <v>111</v>
      </c>
      <c r="I3" t="s">
        <v>112</v>
      </c>
    </row>
    <row r="4" spans="1:9" x14ac:dyDescent="0.2">
      <c r="A4">
        <v>3</v>
      </c>
      <c r="B4" t="s">
        <v>113</v>
      </c>
      <c r="C4" t="s">
        <v>114</v>
      </c>
      <c r="D4" t="s">
        <v>103</v>
      </c>
      <c r="E4" t="s">
        <v>115</v>
      </c>
      <c r="F4" t="s">
        <v>116</v>
      </c>
      <c r="G4" t="s">
        <v>130</v>
      </c>
      <c r="H4" t="s">
        <v>117</v>
      </c>
      <c r="I4" t="s">
        <v>118</v>
      </c>
    </row>
    <row r="5" spans="1:9" x14ac:dyDescent="0.2">
      <c r="A5">
        <v>4</v>
      </c>
      <c r="B5" t="s">
        <v>83</v>
      </c>
      <c r="C5" t="s">
        <v>119</v>
      </c>
      <c r="D5" t="s">
        <v>103</v>
      </c>
      <c r="E5" t="s">
        <v>104</v>
      </c>
      <c r="F5" t="s">
        <v>121</v>
      </c>
      <c r="G5" t="s">
        <v>130</v>
      </c>
      <c r="H5" t="s">
        <v>122</v>
      </c>
      <c r="I5" t="s">
        <v>123</v>
      </c>
    </row>
    <row r="6" spans="1:9" x14ac:dyDescent="0.2">
      <c r="A6">
        <v>5</v>
      </c>
      <c r="B6" t="s">
        <v>81</v>
      </c>
      <c r="C6" t="s">
        <v>81</v>
      </c>
      <c r="D6" t="s">
        <v>103</v>
      </c>
      <c r="E6" t="s">
        <v>115</v>
      </c>
      <c r="F6" t="s">
        <v>124</v>
      </c>
      <c r="G6" t="s">
        <v>130</v>
      </c>
      <c r="H6" t="s">
        <v>125</v>
      </c>
      <c r="I6" t="s">
        <v>126</v>
      </c>
    </row>
    <row r="7" spans="1:9" x14ac:dyDescent="0.2">
      <c r="A7">
        <v>6</v>
      </c>
      <c r="B7" t="s">
        <v>32</v>
      </c>
      <c r="C7" t="s">
        <v>32</v>
      </c>
      <c r="D7" t="s">
        <v>103</v>
      </c>
      <c r="E7" t="s">
        <v>115</v>
      </c>
      <c r="F7" t="s">
        <v>127</v>
      </c>
      <c r="G7" t="s">
        <v>130</v>
      </c>
      <c r="H7" t="s">
        <v>128</v>
      </c>
      <c r="I7" t="s">
        <v>129</v>
      </c>
    </row>
    <row r="8" spans="1:9" x14ac:dyDescent="0.2">
      <c r="A8">
        <v>7</v>
      </c>
      <c r="B8" t="s">
        <v>36</v>
      </c>
      <c r="C8" t="s">
        <v>36</v>
      </c>
      <c r="D8" t="s">
        <v>103</v>
      </c>
      <c r="E8" t="s">
        <v>131</v>
      </c>
      <c r="F8" t="s">
        <v>132</v>
      </c>
      <c r="G8" t="s">
        <v>130</v>
      </c>
      <c r="H8" t="s">
        <v>133</v>
      </c>
      <c r="I8" t="s">
        <v>134</v>
      </c>
    </row>
    <row r="9" spans="1:9" x14ac:dyDescent="0.2">
      <c r="A9">
        <v>8</v>
      </c>
      <c r="B9" t="s">
        <v>43</v>
      </c>
      <c r="C9" t="s">
        <v>135</v>
      </c>
      <c r="D9" t="s">
        <v>103</v>
      </c>
      <c r="E9" t="s">
        <v>115</v>
      </c>
      <c r="F9" t="s">
        <v>136</v>
      </c>
      <c r="G9" t="s">
        <v>130</v>
      </c>
      <c r="H9" t="s">
        <v>137</v>
      </c>
      <c r="I9" t="s">
        <v>138</v>
      </c>
    </row>
    <row r="10" spans="1:9" x14ac:dyDescent="0.2">
      <c r="A10">
        <v>9</v>
      </c>
      <c r="B10" t="s">
        <v>139</v>
      </c>
      <c r="C10" t="s">
        <v>140</v>
      </c>
      <c r="D10" t="s">
        <v>103</v>
      </c>
      <c r="E10" t="s">
        <v>142</v>
      </c>
      <c r="F10" t="s">
        <v>143</v>
      </c>
      <c r="G10" t="s">
        <v>130</v>
      </c>
      <c r="H10" t="s">
        <v>144</v>
      </c>
      <c r="I10" t="s">
        <v>145</v>
      </c>
    </row>
    <row r="11" spans="1:9" x14ac:dyDescent="0.2">
      <c r="A11">
        <v>10</v>
      </c>
      <c r="B11" t="s">
        <v>146</v>
      </c>
      <c r="C11" t="s">
        <v>147</v>
      </c>
      <c r="D11" t="s">
        <v>103</v>
      </c>
      <c r="E11" t="s">
        <v>115</v>
      </c>
      <c r="F11" t="s">
        <v>148</v>
      </c>
      <c r="G11" t="s">
        <v>130</v>
      </c>
      <c r="H11" t="s">
        <v>149</v>
      </c>
      <c r="I11" t="s">
        <v>150</v>
      </c>
    </row>
    <row r="12" spans="1:9" x14ac:dyDescent="0.2">
      <c r="A12">
        <v>11</v>
      </c>
      <c r="B12" t="s">
        <v>84</v>
      </c>
      <c r="C12" t="s">
        <v>391</v>
      </c>
      <c r="D12" t="s">
        <v>103</v>
      </c>
      <c r="E12" t="s">
        <v>115</v>
      </c>
      <c r="F12" t="s">
        <v>151</v>
      </c>
      <c r="G12" t="s">
        <v>130</v>
      </c>
      <c r="H12" t="s">
        <v>152</v>
      </c>
      <c r="I12" t="s">
        <v>153</v>
      </c>
    </row>
    <row r="13" spans="1:9" x14ac:dyDescent="0.2">
      <c r="A13">
        <v>12</v>
      </c>
      <c r="B13" t="s">
        <v>63</v>
      </c>
      <c r="C13" t="s">
        <v>154</v>
      </c>
      <c r="D13" t="s">
        <v>155</v>
      </c>
      <c r="E13" t="s">
        <v>156</v>
      </c>
      <c r="F13" t="s">
        <v>157</v>
      </c>
      <c r="G13" t="s">
        <v>417</v>
      </c>
      <c r="H13" t="s">
        <v>158</v>
      </c>
      <c r="I13" t="s">
        <v>159</v>
      </c>
    </row>
    <row r="14" spans="1:9" x14ac:dyDescent="0.2">
      <c r="A14">
        <v>13</v>
      </c>
      <c r="B14" t="s">
        <v>53</v>
      </c>
      <c r="C14" t="s">
        <v>160</v>
      </c>
      <c r="D14" t="s">
        <v>120</v>
      </c>
      <c r="E14" t="s">
        <v>161</v>
      </c>
      <c r="F14" t="s">
        <v>162</v>
      </c>
      <c r="G14" t="s">
        <v>130</v>
      </c>
      <c r="H14" t="s">
        <v>163</v>
      </c>
      <c r="I14" t="s">
        <v>164</v>
      </c>
    </row>
    <row r="15" spans="1:9" x14ac:dyDescent="0.2">
      <c r="A15">
        <v>14</v>
      </c>
      <c r="B15" t="s">
        <v>74</v>
      </c>
      <c r="C15" t="s">
        <v>165</v>
      </c>
      <c r="D15" t="s">
        <v>103</v>
      </c>
      <c r="E15" t="s">
        <v>166</v>
      </c>
      <c r="F15" t="s">
        <v>167</v>
      </c>
      <c r="G15" t="s">
        <v>130</v>
      </c>
      <c r="H15" t="s">
        <v>168</v>
      </c>
      <c r="I15" t="s">
        <v>169</v>
      </c>
    </row>
    <row r="16" spans="1:9" x14ac:dyDescent="0.2">
      <c r="A16">
        <v>15</v>
      </c>
      <c r="B16" t="s">
        <v>170</v>
      </c>
      <c r="C16" t="s">
        <v>171</v>
      </c>
      <c r="D16" t="s">
        <v>172</v>
      </c>
      <c r="E16" t="s">
        <v>104</v>
      </c>
      <c r="F16" t="s">
        <v>173</v>
      </c>
      <c r="G16" t="s">
        <v>130</v>
      </c>
      <c r="H16" t="s">
        <v>174</v>
      </c>
      <c r="I16" t="s">
        <v>175</v>
      </c>
    </row>
    <row r="17" spans="1:15" x14ac:dyDescent="0.2">
      <c r="A17">
        <v>16</v>
      </c>
      <c r="B17" t="s">
        <v>176</v>
      </c>
      <c r="C17" t="s">
        <v>177</v>
      </c>
      <c r="D17" t="s">
        <v>103</v>
      </c>
      <c r="E17" t="s">
        <v>104</v>
      </c>
      <c r="F17" t="s">
        <v>178</v>
      </c>
      <c r="G17" t="s">
        <v>130</v>
      </c>
      <c r="H17" t="s">
        <v>179</v>
      </c>
      <c r="I17" t="s">
        <v>180</v>
      </c>
    </row>
    <row r="18" spans="1:15" x14ac:dyDescent="0.2">
      <c r="A18">
        <v>17</v>
      </c>
      <c r="B18" t="s">
        <v>33</v>
      </c>
      <c r="C18" t="s">
        <v>33</v>
      </c>
      <c r="D18" t="s">
        <v>120</v>
      </c>
      <c r="E18" t="s">
        <v>181</v>
      </c>
      <c r="F18" t="s">
        <v>182</v>
      </c>
      <c r="G18" t="s">
        <v>423</v>
      </c>
      <c r="H18" t="s">
        <v>183</v>
      </c>
      <c r="I18" t="s">
        <v>184</v>
      </c>
    </row>
    <row r="19" spans="1:15" x14ac:dyDescent="0.2">
      <c r="A19">
        <v>18</v>
      </c>
      <c r="B19" t="s">
        <v>58</v>
      </c>
      <c r="C19" t="s">
        <v>185</v>
      </c>
      <c r="D19" t="s">
        <v>103</v>
      </c>
      <c r="E19" t="s">
        <v>161</v>
      </c>
      <c r="F19" t="s">
        <v>186</v>
      </c>
      <c r="G19" t="s">
        <v>130</v>
      </c>
      <c r="H19" t="s">
        <v>187</v>
      </c>
      <c r="I19" t="s">
        <v>188</v>
      </c>
    </row>
    <row r="20" spans="1:15" x14ac:dyDescent="0.2">
      <c r="A20">
        <v>19</v>
      </c>
      <c r="B20" t="s">
        <v>62</v>
      </c>
      <c r="C20" t="s">
        <v>62</v>
      </c>
      <c r="D20" t="s">
        <v>103</v>
      </c>
      <c r="E20" t="s">
        <v>189</v>
      </c>
      <c r="F20" t="s">
        <v>190</v>
      </c>
      <c r="G20" t="s">
        <v>130</v>
      </c>
      <c r="H20" t="s">
        <v>191</v>
      </c>
      <c r="I20" t="s">
        <v>192</v>
      </c>
    </row>
    <row r="21" spans="1:15" x14ac:dyDescent="0.2">
      <c r="A21">
        <v>20</v>
      </c>
      <c r="B21" t="s">
        <v>67</v>
      </c>
      <c r="C21" t="s">
        <v>193</v>
      </c>
      <c r="D21" t="s">
        <v>120</v>
      </c>
      <c r="E21" t="s">
        <v>194</v>
      </c>
      <c r="F21" t="s">
        <v>195</v>
      </c>
      <c r="G21" t="s">
        <v>130</v>
      </c>
      <c r="H21" t="s">
        <v>196</v>
      </c>
      <c r="I21" t="s">
        <v>197</v>
      </c>
    </row>
    <row r="22" spans="1:15" x14ac:dyDescent="0.2">
      <c r="A22">
        <v>21</v>
      </c>
      <c r="B22" t="s">
        <v>51</v>
      </c>
      <c r="C22" t="s">
        <v>198</v>
      </c>
      <c r="D22" t="s">
        <v>103</v>
      </c>
      <c r="E22" t="s">
        <v>199</v>
      </c>
      <c r="F22" t="s">
        <v>200</v>
      </c>
      <c r="G22" t="s">
        <v>130</v>
      </c>
      <c r="H22" t="s">
        <v>201</v>
      </c>
      <c r="I22" t="s">
        <v>202</v>
      </c>
    </row>
    <row r="23" spans="1:15" x14ac:dyDescent="0.2">
      <c r="A23">
        <v>22</v>
      </c>
      <c r="B23" t="s">
        <v>390</v>
      </c>
      <c r="C23" t="s">
        <v>203</v>
      </c>
      <c r="D23" t="s">
        <v>103</v>
      </c>
      <c r="E23" t="s">
        <v>104</v>
      </c>
      <c r="F23" t="s">
        <v>204</v>
      </c>
      <c r="G23" t="s">
        <v>130</v>
      </c>
      <c r="H23" t="s">
        <v>205</v>
      </c>
      <c r="I23" t="s">
        <v>206</v>
      </c>
    </row>
    <row r="24" spans="1:15" x14ac:dyDescent="0.2">
      <c r="A24">
        <v>23</v>
      </c>
      <c r="B24" t="s">
        <v>75</v>
      </c>
      <c r="C24" t="s">
        <v>207</v>
      </c>
      <c r="D24" t="s">
        <v>120</v>
      </c>
      <c r="E24" t="s">
        <v>104</v>
      </c>
      <c r="F24" t="s">
        <v>208</v>
      </c>
      <c r="G24" t="s">
        <v>130</v>
      </c>
      <c r="H24" t="s">
        <v>209</v>
      </c>
      <c r="I24" t="s">
        <v>210</v>
      </c>
    </row>
    <row r="25" spans="1:15" x14ac:dyDescent="0.2">
      <c r="A25">
        <v>24</v>
      </c>
      <c r="B25" t="s">
        <v>211</v>
      </c>
      <c r="C25" t="s">
        <v>212</v>
      </c>
      <c r="D25" t="s">
        <v>213</v>
      </c>
      <c r="E25" t="s">
        <v>214</v>
      </c>
      <c r="F25" t="s">
        <v>215</v>
      </c>
      <c r="G25" t="s">
        <v>418</v>
      </c>
      <c r="H25" t="s">
        <v>216</v>
      </c>
      <c r="I25" t="s">
        <v>217</v>
      </c>
      <c r="O25" t="s">
        <v>203</v>
      </c>
    </row>
    <row r="26" spans="1:15" x14ac:dyDescent="0.2">
      <c r="A26">
        <v>25</v>
      </c>
      <c r="B26" t="s">
        <v>89</v>
      </c>
      <c r="C26" t="s">
        <v>89</v>
      </c>
      <c r="D26" t="s">
        <v>103</v>
      </c>
      <c r="E26" t="s">
        <v>218</v>
      </c>
      <c r="F26" t="s">
        <v>219</v>
      </c>
      <c r="G26" t="s">
        <v>130</v>
      </c>
      <c r="H26" t="s">
        <v>220</v>
      </c>
      <c r="I26" t="s">
        <v>221</v>
      </c>
    </row>
    <row r="27" spans="1:15" x14ac:dyDescent="0.2">
      <c r="A27">
        <v>26</v>
      </c>
      <c r="B27" t="s">
        <v>76</v>
      </c>
      <c r="C27" t="s">
        <v>222</v>
      </c>
      <c r="D27" t="s">
        <v>223</v>
      </c>
      <c r="E27" t="s">
        <v>115</v>
      </c>
      <c r="F27" t="s">
        <v>224</v>
      </c>
      <c r="G27" t="s">
        <v>417</v>
      </c>
      <c r="H27" t="s">
        <v>225</v>
      </c>
      <c r="I27" t="s">
        <v>226</v>
      </c>
    </row>
    <row r="28" spans="1:15" x14ac:dyDescent="0.2">
      <c r="A28">
        <v>27</v>
      </c>
      <c r="B28" t="s">
        <v>227</v>
      </c>
      <c r="C28" t="s">
        <v>228</v>
      </c>
      <c r="D28" t="s">
        <v>103</v>
      </c>
      <c r="E28" t="s">
        <v>109</v>
      </c>
      <c r="F28" t="s">
        <v>229</v>
      </c>
      <c r="G28" t="s">
        <v>130</v>
      </c>
      <c r="H28" t="s">
        <v>230</v>
      </c>
      <c r="I28" t="s">
        <v>231</v>
      </c>
    </row>
    <row r="29" spans="1:15" x14ac:dyDescent="0.2">
      <c r="A29">
        <v>28</v>
      </c>
      <c r="B29" t="s">
        <v>55</v>
      </c>
      <c r="C29" t="s">
        <v>232</v>
      </c>
      <c r="D29" t="s">
        <v>103</v>
      </c>
      <c r="E29" t="s">
        <v>233</v>
      </c>
      <c r="F29" t="s">
        <v>234</v>
      </c>
      <c r="G29" t="s">
        <v>130</v>
      </c>
      <c r="H29" t="s">
        <v>235</v>
      </c>
      <c r="I29" t="s">
        <v>236</v>
      </c>
    </row>
    <row r="30" spans="1:15" x14ac:dyDescent="0.2">
      <c r="A30">
        <v>29</v>
      </c>
      <c r="B30" t="s">
        <v>88</v>
      </c>
      <c r="C30" t="s">
        <v>237</v>
      </c>
      <c r="D30" t="s">
        <v>223</v>
      </c>
      <c r="E30" t="s">
        <v>238</v>
      </c>
      <c r="F30" t="s">
        <v>239</v>
      </c>
      <c r="G30" t="s">
        <v>417</v>
      </c>
      <c r="H30" t="s">
        <v>240</v>
      </c>
      <c r="I30" t="s">
        <v>241</v>
      </c>
    </row>
    <row r="31" spans="1:15" x14ac:dyDescent="0.2">
      <c r="A31">
        <v>30</v>
      </c>
      <c r="B31" t="s">
        <v>79</v>
      </c>
      <c r="C31" t="s">
        <v>242</v>
      </c>
      <c r="D31" t="s">
        <v>243</v>
      </c>
      <c r="E31" t="s">
        <v>244</v>
      </c>
      <c r="F31" t="s">
        <v>245</v>
      </c>
      <c r="G31" t="s">
        <v>419</v>
      </c>
      <c r="H31" t="s">
        <v>246</v>
      </c>
      <c r="I31" t="s">
        <v>247</v>
      </c>
    </row>
    <row r="32" spans="1:15" x14ac:dyDescent="0.2">
      <c r="A32">
        <v>31</v>
      </c>
      <c r="B32" t="s">
        <v>248</v>
      </c>
      <c r="C32" t="s">
        <v>249</v>
      </c>
      <c r="D32" t="s">
        <v>250</v>
      </c>
      <c r="E32" t="s">
        <v>161</v>
      </c>
      <c r="F32" t="s">
        <v>251</v>
      </c>
      <c r="G32" t="s">
        <v>419</v>
      </c>
      <c r="H32" t="s">
        <v>252</v>
      </c>
      <c r="I32" t="s">
        <v>253</v>
      </c>
    </row>
    <row r="33" spans="1:9" x14ac:dyDescent="0.2">
      <c r="A33">
        <v>32</v>
      </c>
      <c r="B33" t="s">
        <v>71</v>
      </c>
      <c r="C33" t="s">
        <v>402</v>
      </c>
      <c r="D33" t="s">
        <v>103</v>
      </c>
      <c r="E33" t="s">
        <v>254</v>
      </c>
      <c r="F33" t="s">
        <v>255</v>
      </c>
      <c r="G33" t="s">
        <v>130</v>
      </c>
      <c r="H33" t="s">
        <v>256</v>
      </c>
      <c r="I33" t="s">
        <v>257</v>
      </c>
    </row>
    <row r="34" spans="1:9" x14ac:dyDescent="0.2">
      <c r="A34">
        <v>33</v>
      </c>
      <c r="B34" t="s">
        <v>80</v>
      </c>
      <c r="C34" t="s">
        <v>258</v>
      </c>
      <c r="D34" t="s">
        <v>259</v>
      </c>
      <c r="E34" t="s">
        <v>142</v>
      </c>
      <c r="F34" t="s">
        <v>260</v>
      </c>
      <c r="G34" t="s">
        <v>419</v>
      </c>
      <c r="H34" t="s">
        <v>261</v>
      </c>
      <c r="I34" t="s">
        <v>262</v>
      </c>
    </row>
    <row r="35" spans="1:9" x14ac:dyDescent="0.2">
      <c r="A35">
        <v>34</v>
      </c>
      <c r="B35" t="s">
        <v>64</v>
      </c>
      <c r="C35" t="s">
        <v>64</v>
      </c>
      <c r="D35" t="s">
        <v>263</v>
      </c>
      <c r="E35" t="s">
        <v>254</v>
      </c>
      <c r="F35" t="s">
        <v>264</v>
      </c>
      <c r="G35" t="s">
        <v>417</v>
      </c>
      <c r="H35" t="s">
        <v>265</v>
      </c>
      <c r="I35" t="s">
        <v>266</v>
      </c>
    </row>
    <row r="36" spans="1:9" x14ac:dyDescent="0.2">
      <c r="A36">
        <v>35</v>
      </c>
      <c r="B36" t="s">
        <v>59</v>
      </c>
      <c r="C36" t="s">
        <v>59</v>
      </c>
      <c r="D36" t="s">
        <v>103</v>
      </c>
      <c r="E36" t="s">
        <v>267</v>
      </c>
      <c r="F36" t="s">
        <v>268</v>
      </c>
      <c r="G36" t="s">
        <v>423</v>
      </c>
      <c r="H36" t="s">
        <v>269</v>
      </c>
      <c r="I36" t="s">
        <v>270</v>
      </c>
    </row>
    <row r="37" spans="1:9" x14ac:dyDescent="0.2">
      <c r="A37">
        <v>36</v>
      </c>
      <c r="B37" t="s">
        <v>38</v>
      </c>
      <c r="C37" t="s">
        <v>271</v>
      </c>
      <c r="D37" t="s">
        <v>103</v>
      </c>
      <c r="E37" t="s">
        <v>267</v>
      </c>
      <c r="F37" t="s">
        <v>272</v>
      </c>
      <c r="G37" t="s">
        <v>423</v>
      </c>
      <c r="H37" t="s">
        <v>273</v>
      </c>
      <c r="I37" t="s">
        <v>274</v>
      </c>
    </row>
    <row r="38" spans="1:9" x14ac:dyDescent="0.2">
      <c r="A38">
        <v>37</v>
      </c>
      <c r="B38" t="s">
        <v>61</v>
      </c>
      <c r="C38" t="s">
        <v>61</v>
      </c>
      <c r="D38" t="s">
        <v>275</v>
      </c>
      <c r="E38" t="s">
        <v>142</v>
      </c>
      <c r="F38" t="s">
        <v>276</v>
      </c>
      <c r="G38" t="s">
        <v>419</v>
      </c>
      <c r="H38" t="s">
        <v>277</v>
      </c>
      <c r="I38" t="s">
        <v>278</v>
      </c>
    </row>
    <row r="39" spans="1:9" x14ac:dyDescent="0.2">
      <c r="A39">
        <v>38</v>
      </c>
      <c r="B39" t="s">
        <v>69</v>
      </c>
      <c r="C39" t="s">
        <v>279</v>
      </c>
      <c r="D39" t="s">
        <v>103</v>
      </c>
      <c r="E39" t="s">
        <v>280</v>
      </c>
      <c r="F39" t="s">
        <v>281</v>
      </c>
      <c r="G39" t="s">
        <v>423</v>
      </c>
      <c r="H39" t="s">
        <v>282</v>
      </c>
      <c r="I39" t="s">
        <v>283</v>
      </c>
    </row>
    <row r="40" spans="1:9" x14ac:dyDescent="0.2">
      <c r="A40">
        <v>39</v>
      </c>
      <c r="B40" t="s">
        <v>65</v>
      </c>
      <c r="C40" t="s">
        <v>284</v>
      </c>
      <c r="D40" t="s">
        <v>103</v>
      </c>
      <c r="E40" t="s">
        <v>285</v>
      </c>
      <c r="F40" t="s">
        <v>286</v>
      </c>
      <c r="G40" t="s">
        <v>423</v>
      </c>
      <c r="H40" t="s">
        <v>287</v>
      </c>
      <c r="I40" t="s">
        <v>288</v>
      </c>
    </row>
    <row r="41" spans="1:9" x14ac:dyDescent="0.2">
      <c r="A41">
        <v>40</v>
      </c>
      <c r="B41" t="s">
        <v>85</v>
      </c>
      <c r="C41" t="s">
        <v>289</v>
      </c>
      <c r="D41" t="s">
        <v>290</v>
      </c>
      <c r="E41" t="s">
        <v>142</v>
      </c>
      <c r="F41" t="s">
        <v>291</v>
      </c>
      <c r="G41" t="s">
        <v>419</v>
      </c>
      <c r="H41" t="s">
        <v>292</v>
      </c>
      <c r="I41" t="s">
        <v>293</v>
      </c>
    </row>
    <row r="42" spans="1:9" x14ac:dyDescent="0.2">
      <c r="A42">
        <v>41</v>
      </c>
      <c r="B42" t="s">
        <v>294</v>
      </c>
      <c r="C42" t="s">
        <v>294</v>
      </c>
      <c r="D42" t="s">
        <v>155</v>
      </c>
      <c r="E42" t="s">
        <v>218</v>
      </c>
      <c r="F42" t="s">
        <v>295</v>
      </c>
      <c r="G42" t="s">
        <v>417</v>
      </c>
      <c r="H42" t="s">
        <v>296</v>
      </c>
      <c r="I42" t="s">
        <v>297</v>
      </c>
    </row>
    <row r="43" spans="1:9" x14ac:dyDescent="0.2">
      <c r="A43">
        <v>42</v>
      </c>
      <c r="B43" t="s">
        <v>57</v>
      </c>
      <c r="C43" t="s">
        <v>298</v>
      </c>
      <c r="D43" t="s">
        <v>299</v>
      </c>
      <c r="E43" t="s">
        <v>104</v>
      </c>
      <c r="F43" t="s">
        <v>300</v>
      </c>
      <c r="G43" t="s">
        <v>420</v>
      </c>
      <c r="H43" t="s">
        <v>301</v>
      </c>
      <c r="I43" t="s">
        <v>302</v>
      </c>
    </row>
    <row r="44" spans="1:9" x14ac:dyDescent="0.2">
      <c r="A44">
        <v>43</v>
      </c>
      <c r="B44" t="s">
        <v>303</v>
      </c>
      <c r="C44" t="s">
        <v>304</v>
      </c>
      <c r="D44" t="s">
        <v>155</v>
      </c>
      <c r="E44" t="s">
        <v>194</v>
      </c>
      <c r="F44" t="s">
        <v>305</v>
      </c>
      <c r="G44" t="s">
        <v>417</v>
      </c>
      <c r="H44" t="s">
        <v>306</v>
      </c>
      <c r="I44" t="s">
        <v>307</v>
      </c>
    </row>
    <row r="45" spans="1:9" x14ac:dyDescent="0.2">
      <c r="A45">
        <v>44</v>
      </c>
      <c r="B45" t="s">
        <v>90</v>
      </c>
      <c r="C45" t="s">
        <v>308</v>
      </c>
      <c r="D45" t="s">
        <v>120</v>
      </c>
      <c r="E45" t="s">
        <v>181</v>
      </c>
      <c r="F45" t="s">
        <v>309</v>
      </c>
      <c r="G45" t="s">
        <v>423</v>
      </c>
      <c r="H45" t="s">
        <v>310</v>
      </c>
      <c r="I45" t="s">
        <v>311</v>
      </c>
    </row>
    <row r="46" spans="1:9" x14ac:dyDescent="0.2">
      <c r="A46">
        <v>45</v>
      </c>
      <c r="B46" t="s">
        <v>73</v>
      </c>
      <c r="C46" t="s">
        <v>312</v>
      </c>
      <c r="D46" t="s">
        <v>103</v>
      </c>
      <c r="E46" t="s">
        <v>280</v>
      </c>
      <c r="F46" t="s">
        <v>313</v>
      </c>
      <c r="G46" t="s">
        <v>423</v>
      </c>
      <c r="H46" t="s">
        <v>314</v>
      </c>
      <c r="I46" t="s">
        <v>315</v>
      </c>
    </row>
    <row r="47" spans="1:9" x14ac:dyDescent="0.2">
      <c r="A47">
        <v>46</v>
      </c>
      <c r="B47" t="s">
        <v>87</v>
      </c>
      <c r="C47" t="s">
        <v>316</v>
      </c>
      <c r="D47" t="s">
        <v>317</v>
      </c>
      <c r="E47" t="s">
        <v>104</v>
      </c>
      <c r="F47" t="s">
        <v>318</v>
      </c>
      <c r="G47" t="s">
        <v>417</v>
      </c>
      <c r="H47" t="s">
        <v>319</v>
      </c>
      <c r="I47" t="s">
        <v>320</v>
      </c>
    </row>
    <row r="48" spans="1:9" x14ac:dyDescent="0.2">
      <c r="A48">
        <v>47</v>
      </c>
      <c r="B48" t="s">
        <v>92</v>
      </c>
      <c r="C48" t="s">
        <v>37</v>
      </c>
      <c r="D48" t="s">
        <v>141</v>
      </c>
      <c r="E48" t="s">
        <v>115</v>
      </c>
      <c r="F48" t="s">
        <v>321</v>
      </c>
      <c r="G48" t="s">
        <v>130</v>
      </c>
      <c r="H48" t="s">
        <v>322</v>
      </c>
      <c r="I48" t="s">
        <v>323</v>
      </c>
    </row>
    <row r="49" spans="1:9" x14ac:dyDescent="0.2">
      <c r="A49">
        <v>48</v>
      </c>
      <c r="B49" t="s">
        <v>70</v>
      </c>
      <c r="C49" t="s">
        <v>324</v>
      </c>
      <c r="D49" t="s">
        <v>325</v>
      </c>
      <c r="E49" t="s">
        <v>326</v>
      </c>
      <c r="F49" t="s">
        <v>327</v>
      </c>
      <c r="G49" t="s">
        <v>417</v>
      </c>
      <c r="H49" t="s">
        <v>328</v>
      </c>
      <c r="I49" t="s">
        <v>329</v>
      </c>
    </row>
    <row r="50" spans="1:9" x14ac:dyDescent="0.2">
      <c r="A50">
        <v>49</v>
      </c>
      <c r="B50" t="s">
        <v>91</v>
      </c>
      <c r="C50" t="s">
        <v>330</v>
      </c>
      <c r="D50" t="s">
        <v>331</v>
      </c>
      <c r="E50" t="s">
        <v>104</v>
      </c>
      <c r="F50" t="s">
        <v>332</v>
      </c>
      <c r="G50" t="s">
        <v>420</v>
      </c>
      <c r="H50" t="s">
        <v>333</v>
      </c>
      <c r="I50" t="s">
        <v>334</v>
      </c>
    </row>
    <row r="51" spans="1:9" x14ac:dyDescent="0.2">
      <c r="A51">
        <v>50</v>
      </c>
      <c r="B51" t="s">
        <v>335</v>
      </c>
      <c r="C51" t="s">
        <v>335</v>
      </c>
      <c r="D51" t="s">
        <v>336</v>
      </c>
      <c r="E51" t="s">
        <v>337</v>
      </c>
      <c r="F51" t="s">
        <v>338</v>
      </c>
      <c r="G51" t="s">
        <v>421</v>
      </c>
      <c r="H51" t="s">
        <v>339</v>
      </c>
      <c r="I51" t="s">
        <v>340</v>
      </c>
    </row>
    <row r="52" spans="1:9" x14ac:dyDescent="0.2">
      <c r="A52">
        <v>51</v>
      </c>
      <c r="B52" t="s">
        <v>341</v>
      </c>
      <c r="C52" t="s">
        <v>342</v>
      </c>
      <c r="D52" t="s">
        <v>343</v>
      </c>
      <c r="E52" t="s">
        <v>344</v>
      </c>
      <c r="F52" t="s">
        <v>345</v>
      </c>
      <c r="G52" t="s">
        <v>421</v>
      </c>
      <c r="H52" t="s">
        <v>346</v>
      </c>
      <c r="I52" t="s">
        <v>347</v>
      </c>
    </row>
    <row r="53" spans="1:9" x14ac:dyDescent="0.2">
      <c r="A53">
        <v>52</v>
      </c>
      <c r="B53" t="s">
        <v>385</v>
      </c>
      <c r="C53" t="s">
        <v>348</v>
      </c>
      <c r="D53" t="s">
        <v>103</v>
      </c>
      <c r="E53" t="s">
        <v>115</v>
      </c>
      <c r="F53" t="s">
        <v>349</v>
      </c>
      <c r="G53" t="s">
        <v>130</v>
      </c>
      <c r="H53" t="s">
        <v>350</v>
      </c>
      <c r="I53" t="s">
        <v>351</v>
      </c>
    </row>
    <row r="54" spans="1:9" x14ac:dyDescent="0.2">
      <c r="A54">
        <v>53</v>
      </c>
      <c r="B54" t="s">
        <v>77</v>
      </c>
      <c r="C54" t="s">
        <v>352</v>
      </c>
      <c r="D54" t="s">
        <v>130</v>
      </c>
      <c r="E54" t="s">
        <v>353</v>
      </c>
      <c r="F54" t="s">
        <v>354</v>
      </c>
      <c r="G54" t="s">
        <v>130</v>
      </c>
      <c r="H54" t="s">
        <v>355</v>
      </c>
      <c r="I54" t="s">
        <v>356</v>
      </c>
    </row>
    <row r="55" spans="1:9" x14ac:dyDescent="0.2">
      <c r="A55">
        <v>54</v>
      </c>
      <c r="B55" t="s">
        <v>386</v>
      </c>
      <c r="C55" t="s">
        <v>357</v>
      </c>
      <c r="D55" t="s">
        <v>358</v>
      </c>
      <c r="E55" t="s">
        <v>326</v>
      </c>
      <c r="F55" t="s">
        <v>359</v>
      </c>
      <c r="G55" t="s">
        <v>370</v>
      </c>
      <c r="H55" t="s">
        <v>360</v>
      </c>
      <c r="I55" t="s">
        <v>361</v>
      </c>
    </row>
    <row r="56" spans="1:9" x14ac:dyDescent="0.2">
      <c r="A56">
        <v>55</v>
      </c>
      <c r="B56" t="s">
        <v>54</v>
      </c>
      <c r="C56" t="s">
        <v>362</v>
      </c>
      <c r="D56" t="s">
        <v>363</v>
      </c>
      <c r="E56" t="s">
        <v>364</v>
      </c>
      <c r="F56" t="s">
        <v>365</v>
      </c>
      <c r="G56" t="s">
        <v>370</v>
      </c>
      <c r="H56" t="s">
        <v>366</v>
      </c>
      <c r="I56" t="s">
        <v>367</v>
      </c>
    </row>
    <row r="57" spans="1:9" x14ac:dyDescent="0.2">
      <c r="A57">
        <v>56</v>
      </c>
      <c r="B57" t="s">
        <v>368</v>
      </c>
      <c r="C57" t="s">
        <v>369</v>
      </c>
      <c r="D57" t="s">
        <v>370</v>
      </c>
      <c r="E57" t="s">
        <v>371</v>
      </c>
      <c r="F57" t="s">
        <v>372</v>
      </c>
      <c r="G57" t="s">
        <v>370</v>
      </c>
      <c r="H57" t="s">
        <v>373</v>
      </c>
      <c r="I57" t="s">
        <v>374</v>
      </c>
    </row>
    <row r="58" spans="1:9" x14ac:dyDescent="0.2">
      <c r="A58">
        <v>57</v>
      </c>
      <c r="B58" t="s">
        <v>52</v>
      </c>
      <c r="C58" t="s">
        <v>381</v>
      </c>
      <c r="G58" t="s">
        <v>421</v>
      </c>
    </row>
    <row r="59" spans="1:9" x14ac:dyDescent="0.2">
      <c r="A59">
        <v>58</v>
      </c>
      <c r="B59" t="s">
        <v>382</v>
      </c>
      <c r="C59" t="s">
        <v>382</v>
      </c>
      <c r="G59" t="s">
        <v>422</v>
      </c>
    </row>
    <row r="60" spans="1:9" x14ac:dyDescent="0.2">
      <c r="A60">
        <v>59</v>
      </c>
      <c r="B60" t="s">
        <v>66</v>
      </c>
      <c r="C60" t="s">
        <v>384</v>
      </c>
      <c r="G60" t="s">
        <v>130</v>
      </c>
    </row>
    <row r="61" spans="1:9" x14ac:dyDescent="0.2">
      <c r="A61">
        <v>60</v>
      </c>
      <c r="B61" t="s">
        <v>405</v>
      </c>
      <c r="C61" t="s">
        <v>387</v>
      </c>
      <c r="G61" t="s">
        <v>418</v>
      </c>
    </row>
    <row r="62" spans="1:9" x14ac:dyDescent="0.2">
      <c r="A62">
        <v>61</v>
      </c>
      <c r="B62" t="s">
        <v>86</v>
      </c>
      <c r="C62" t="s">
        <v>388</v>
      </c>
      <c r="G62" t="s">
        <v>419</v>
      </c>
    </row>
    <row r="63" spans="1:9" x14ac:dyDescent="0.2">
      <c r="A63">
        <v>62</v>
      </c>
      <c r="B63" t="s">
        <v>93</v>
      </c>
      <c r="C63" t="s">
        <v>93</v>
      </c>
      <c r="G63" t="s">
        <v>423</v>
      </c>
    </row>
    <row r="64" spans="1:9" x14ac:dyDescent="0.2">
      <c r="A64">
        <v>63</v>
      </c>
      <c r="B64" t="s">
        <v>389</v>
      </c>
      <c r="C64" t="s">
        <v>389</v>
      </c>
      <c r="G64" t="s">
        <v>423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zoomScale="93" zoomScaleNormal="121" workbookViewId="0">
      <selection activeCell="I26" sqref="I26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93" t="s">
        <v>95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2" customHeight="1" x14ac:dyDescent="0.2">
      <c r="A2" s="92" t="s">
        <v>0</v>
      </c>
      <c r="B2" s="94" t="s">
        <v>14</v>
      </c>
      <c r="C2" s="95" t="s">
        <v>46</v>
      </c>
      <c r="D2" s="96"/>
      <c r="E2" s="96"/>
      <c r="F2" s="97"/>
      <c r="G2" s="95" t="s">
        <v>40</v>
      </c>
      <c r="H2" s="96"/>
      <c r="I2" s="96"/>
      <c r="J2" s="97"/>
      <c r="K2" s="95" t="s">
        <v>47</v>
      </c>
      <c r="L2" s="96"/>
      <c r="M2" s="96"/>
      <c r="N2" s="97"/>
      <c r="O2" s="95" t="s">
        <v>39</v>
      </c>
      <c r="P2" s="96"/>
      <c r="Q2" s="96"/>
      <c r="R2" s="97"/>
      <c r="S2" s="95" t="s">
        <v>41</v>
      </c>
      <c r="T2" s="96"/>
      <c r="U2" s="96"/>
      <c r="V2" s="97"/>
      <c r="W2" s="95" t="s">
        <v>48</v>
      </c>
      <c r="X2" s="96"/>
      <c r="Y2" s="96"/>
      <c r="Z2" s="97"/>
      <c r="AA2" s="98" t="s">
        <v>34</v>
      </c>
    </row>
    <row r="3" spans="1:27" ht="22" customHeight="1" x14ac:dyDescent="0.2">
      <c r="A3" s="92"/>
      <c r="B3" s="94"/>
      <c r="C3" s="21" t="s">
        <v>17</v>
      </c>
      <c r="D3" s="22" t="s">
        <v>1</v>
      </c>
      <c r="E3" s="23" t="s">
        <v>18</v>
      </c>
      <c r="F3" s="50" t="s">
        <v>35</v>
      </c>
      <c r="G3" s="21" t="s">
        <v>17</v>
      </c>
      <c r="H3" s="22" t="s">
        <v>1</v>
      </c>
      <c r="I3" s="23" t="s">
        <v>18</v>
      </c>
      <c r="J3" s="50" t="s">
        <v>35</v>
      </c>
      <c r="K3" s="21" t="s">
        <v>17</v>
      </c>
      <c r="L3" s="22" t="s">
        <v>1</v>
      </c>
      <c r="M3" s="23" t="s">
        <v>18</v>
      </c>
      <c r="N3" s="50" t="s">
        <v>35</v>
      </c>
      <c r="O3" s="21" t="s">
        <v>17</v>
      </c>
      <c r="P3" s="22" t="s">
        <v>1</v>
      </c>
      <c r="Q3" s="23" t="s">
        <v>18</v>
      </c>
      <c r="R3" s="50" t="s">
        <v>35</v>
      </c>
      <c r="S3" s="21" t="s">
        <v>17</v>
      </c>
      <c r="T3" s="22" t="s">
        <v>1</v>
      </c>
      <c r="U3" s="23" t="s">
        <v>18</v>
      </c>
      <c r="V3" s="50" t="s">
        <v>35</v>
      </c>
      <c r="W3" s="21" t="s">
        <v>17</v>
      </c>
      <c r="X3" s="22" t="s">
        <v>1</v>
      </c>
      <c r="Y3" s="23" t="s">
        <v>18</v>
      </c>
      <c r="Z3" s="50" t="s">
        <v>35</v>
      </c>
      <c r="AA3" s="98"/>
    </row>
    <row r="4" spans="1:27" ht="17" customHeight="1" x14ac:dyDescent="0.2">
      <c r="A4" s="88" t="s">
        <v>30</v>
      </c>
      <c r="B4" s="89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 t="str">
        <v/>
      </c>
      <c r="L5" s="12" t="str">
        <v/>
      </c>
      <c r="M5" s="12" t="str">
        <v/>
      </c>
      <c r="N5" s="47" t="str">
        <v/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54</v>
      </c>
    </row>
    <row r="6" spans="1:27" ht="17" x14ac:dyDescent="0.2">
      <c r="A6" s="62" t="s">
        <v>3</v>
      </c>
      <c r="B6" s="53" t="str">
        <v>Marco-super-gt</v>
      </c>
      <c r="C6" s="12" t="str">
        <v/>
      </c>
      <c r="D6" s="12">
        <v>18</v>
      </c>
      <c r="E6" s="12" t="str">
        <v/>
      </c>
      <c r="F6" s="47">
        <v>18</v>
      </c>
      <c r="G6" s="12" t="str">
        <v/>
      </c>
      <c r="H6" s="12">
        <v>14</v>
      </c>
      <c r="I6" s="12" t="str">
        <v/>
      </c>
      <c r="J6" s="47">
        <v>14</v>
      </c>
      <c r="K6" s="12" t="str">
        <v/>
      </c>
      <c r="L6" s="12" t="str">
        <v/>
      </c>
      <c r="M6" s="12" t="str">
        <v/>
      </c>
      <c r="N6" s="47" t="str">
        <v/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32</v>
      </c>
    </row>
    <row r="7" spans="1:27" ht="17" x14ac:dyDescent="0.2">
      <c r="A7" s="54" t="s">
        <v>4</v>
      </c>
      <c r="B7" s="53" t="str">
        <v>TLM_Kappa</v>
      </c>
      <c r="C7" s="12" t="str">
        <v/>
      </c>
      <c r="D7" s="12">
        <v>20</v>
      </c>
      <c r="E7" s="12" t="str">
        <v/>
      </c>
      <c r="F7" s="47">
        <v>20</v>
      </c>
      <c r="G7" s="12" t="str">
        <v/>
      </c>
      <c r="H7" s="12">
        <v>10</v>
      </c>
      <c r="I7" s="12" t="str">
        <v/>
      </c>
      <c r="J7" s="47">
        <v>10</v>
      </c>
      <c r="K7" s="12" t="str">
        <v/>
      </c>
      <c r="L7" s="12" t="str">
        <v/>
      </c>
      <c r="M7" s="12" t="str">
        <v/>
      </c>
      <c r="N7" s="47" t="str">
        <v/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30</v>
      </c>
    </row>
    <row r="8" spans="1:27" ht="17" x14ac:dyDescent="0.2">
      <c r="A8" s="55" t="s">
        <v>5</v>
      </c>
      <c r="B8" s="53" t="str">
        <v>xRUA85x</v>
      </c>
      <c r="C8" s="12" t="str">
        <v/>
      </c>
      <c r="D8" s="12">
        <v>12</v>
      </c>
      <c r="E8" s="12" t="str">
        <v/>
      </c>
      <c r="F8" s="47">
        <v>12</v>
      </c>
      <c r="G8" s="12" t="str">
        <v/>
      </c>
      <c r="H8" s="12">
        <v>16</v>
      </c>
      <c r="I8" s="12" t="str">
        <v/>
      </c>
      <c r="J8" s="47">
        <v>16</v>
      </c>
      <c r="K8" s="12" t="str">
        <v/>
      </c>
      <c r="L8" s="12" t="str">
        <v/>
      </c>
      <c r="M8" s="12" t="str">
        <v/>
      </c>
      <c r="N8" s="47" t="str">
        <v/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28</v>
      </c>
    </row>
    <row r="9" spans="1:27" ht="17" x14ac:dyDescent="0.2">
      <c r="A9" s="55" t="s">
        <v>6</v>
      </c>
      <c r="B9" s="53" t="str">
        <v>Rupetheking</v>
      </c>
      <c r="C9" s="12" t="str">
        <v/>
      </c>
      <c r="D9" s="12">
        <v>3</v>
      </c>
      <c r="E9" s="12" t="str">
        <v/>
      </c>
      <c r="F9" s="47">
        <v>3</v>
      </c>
      <c r="G9" s="12" t="str">
        <v/>
      </c>
      <c r="H9" s="12">
        <v>20</v>
      </c>
      <c r="I9" s="12" t="str">
        <v/>
      </c>
      <c r="J9" s="47">
        <v>20</v>
      </c>
      <c r="K9" s="12" t="str">
        <v/>
      </c>
      <c r="L9" s="12" t="str">
        <v/>
      </c>
      <c r="M9" s="12" t="str">
        <v/>
      </c>
      <c r="N9" s="47" t="str">
        <v/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23</v>
      </c>
    </row>
    <row r="10" spans="1:27" ht="17.25" customHeight="1" x14ac:dyDescent="0.2">
      <c r="A10" s="55" t="s">
        <v>7</v>
      </c>
      <c r="B10" s="53" t="str">
        <v>TLM_Sicily22</v>
      </c>
      <c r="C10" s="12" t="str">
        <v/>
      </c>
      <c r="D10" s="12" t="str">
        <v/>
      </c>
      <c r="E10" s="12" t="str">
        <v/>
      </c>
      <c r="F10" s="47" t="str">
        <v/>
      </c>
      <c r="G10" s="12" t="str">
        <v/>
      </c>
      <c r="H10" s="12">
        <v>18</v>
      </c>
      <c r="I10" s="12" t="str">
        <v/>
      </c>
      <c r="J10" s="47">
        <v>18</v>
      </c>
      <c r="K10" s="20" t="str">
        <v/>
      </c>
      <c r="L10" s="20" t="str">
        <v/>
      </c>
      <c r="M10" s="20" t="str">
        <v/>
      </c>
      <c r="N10" s="47" t="str">
        <v/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18</v>
      </c>
    </row>
    <row r="11" spans="1:27" ht="17.25" customHeight="1" x14ac:dyDescent="0.2">
      <c r="A11" s="55" t="s">
        <v>8</v>
      </c>
      <c r="B11" s="53" t="str">
        <v>TLM_michaelfox12</v>
      </c>
      <c r="C11" s="12" t="str">
        <v/>
      </c>
      <c r="D11" s="12">
        <v>6</v>
      </c>
      <c r="E11" s="12" t="str">
        <v/>
      </c>
      <c r="F11" s="47">
        <v>6</v>
      </c>
      <c r="G11" s="12" t="str">
        <v/>
      </c>
      <c r="H11" s="12">
        <v>12</v>
      </c>
      <c r="I11" s="12" t="str">
        <v/>
      </c>
      <c r="J11" s="47">
        <v>12</v>
      </c>
      <c r="K11" s="12" t="str">
        <v/>
      </c>
      <c r="L11" s="12" t="str">
        <v/>
      </c>
      <c r="M11" s="12" t="str">
        <v/>
      </c>
      <c r="N11" s="47" t="str">
        <v/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18</v>
      </c>
    </row>
    <row r="12" spans="1:27" ht="17" x14ac:dyDescent="0.2">
      <c r="A12" s="55" t="s">
        <v>9</v>
      </c>
      <c r="B12" s="57" t="str">
        <v>Selpa974</v>
      </c>
      <c r="C12" s="12" t="str">
        <v/>
      </c>
      <c r="D12" s="12">
        <v>16</v>
      </c>
      <c r="E12" s="12" t="str">
        <v/>
      </c>
      <c r="F12" s="47">
        <v>16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 t="str">
        <v/>
      </c>
      <c r="M12" s="12" t="str">
        <v/>
      </c>
      <c r="N12" s="47" t="str">
        <v/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16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 t="str">
        <v/>
      </c>
      <c r="M13" s="12" t="str">
        <v/>
      </c>
      <c r="N13" s="47" t="str">
        <v/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16</v>
      </c>
    </row>
    <row r="14" spans="1:27" ht="17" x14ac:dyDescent="0.2">
      <c r="A14" s="55" t="s">
        <v>11</v>
      </c>
      <c r="B14" s="53" t="str">
        <v>Stefanostefanof</v>
      </c>
      <c r="C14" s="12" t="str">
        <v/>
      </c>
      <c r="D14" s="12">
        <v>10</v>
      </c>
      <c r="E14" s="12" t="str">
        <v/>
      </c>
      <c r="F14" s="47">
        <v>10</v>
      </c>
      <c r="G14" s="12" t="str">
        <v/>
      </c>
      <c r="H14" s="12">
        <v>5</v>
      </c>
      <c r="I14" s="12" t="str">
        <v/>
      </c>
      <c r="J14" s="47">
        <v>5</v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15</v>
      </c>
    </row>
    <row r="15" spans="1:27" ht="17" x14ac:dyDescent="0.2">
      <c r="A15" s="55" t="s">
        <v>12</v>
      </c>
      <c r="B15" s="53" t="str">
        <v>DCT-bazzo</v>
      </c>
      <c r="C15" s="49" t="str">
        <v/>
      </c>
      <c r="D15" s="20">
        <v>14</v>
      </c>
      <c r="E15" s="20" t="str">
        <v/>
      </c>
      <c r="F15" s="47">
        <v>14</v>
      </c>
      <c r="G15" s="12" t="str">
        <v/>
      </c>
      <c r="H15" s="12" t="str">
        <v/>
      </c>
      <c r="I15" s="12" t="str">
        <v/>
      </c>
      <c r="J15" s="47" t="str">
        <v/>
      </c>
      <c r="K15" s="12" t="str">
        <v/>
      </c>
      <c r="L15" s="12" t="str">
        <v/>
      </c>
      <c r="M15" s="12" t="str">
        <v/>
      </c>
      <c r="N15" s="47" t="str">
        <v/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14</v>
      </c>
    </row>
    <row r="16" spans="1:27" ht="17" x14ac:dyDescent="0.2">
      <c r="A16" s="55" t="s">
        <v>13</v>
      </c>
      <c r="B16" s="53" t="str">
        <v>TeoDaniricky2000</v>
      </c>
      <c r="C16" s="20" t="str">
        <v/>
      </c>
      <c r="D16" s="20">
        <v>4</v>
      </c>
      <c r="E16" s="20" t="str">
        <v/>
      </c>
      <c r="F16" s="47">
        <v>4</v>
      </c>
      <c r="G16" s="12" t="str">
        <v/>
      </c>
      <c r="H16" s="12">
        <v>6</v>
      </c>
      <c r="I16" s="12" t="str">
        <v/>
      </c>
      <c r="J16" s="47">
        <v>6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10</v>
      </c>
    </row>
    <row r="17" spans="1:16358" ht="17" x14ac:dyDescent="0.2">
      <c r="A17" s="55" t="s">
        <v>20</v>
      </c>
      <c r="B17" s="53" t="str">
        <v>Assemazz</v>
      </c>
      <c r="C17" s="20" t="str">
        <v/>
      </c>
      <c r="D17" s="20">
        <v>5</v>
      </c>
      <c r="E17" s="20" t="str">
        <v/>
      </c>
      <c r="F17" s="47">
        <v>5</v>
      </c>
      <c r="G17" s="20" t="str">
        <v/>
      </c>
      <c r="H17" s="20">
        <v>4</v>
      </c>
      <c r="I17" s="20" t="str">
        <v/>
      </c>
      <c r="J17" s="47">
        <v>4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9</v>
      </c>
    </row>
    <row r="18" spans="1:16358" ht="17" x14ac:dyDescent="0.25">
      <c r="A18" s="55" t="s">
        <v>21</v>
      </c>
      <c r="B18" s="53" t="str">
        <v>Monster_Nova_RS</v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90" t="s">
        <v>31</v>
      </c>
      <c r="B19" s="103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 t="str">
        <v/>
      </c>
      <c r="M20" s="12" t="str">
        <v/>
      </c>
      <c r="N20" s="47" t="str">
        <v/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51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 t="str">
        <v/>
      </c>
      <c r="L21" s="12" t="str">
        <v/>
      </c>
      <c r="M21" s="12" t="str">
        <v/>
      </c>
      <c r="N21" s="47" t="str">
        <v/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40</v>
      </c>
    </row>
    <row r="22" spans="1:16358" ht="17" x14ac:dyDescent="0.2">
      <c r="A22" s="55" t="s">
        <v>4</v>
      </c>
      <c r="B22" s="53" t="str">
        <v>Bobgre93</v>
      </c>
      <c r="C22" s="12" t="str">
        <v/>
      </c>
      <c r="D22" s="12">
        <v>20</v>
      </c>
      <c r="E22" s="12" t="str">
        <v/>
      </c>
      <c r="F22" s="47">
        <v>20</v>
      </c>
      <c r="G22" s="12" t="str">
        <v/>
      </c>
      <c r="H22" s="12">
        <v>16</v>
      </c>
      <c r="I22" s="12" t="str">
        <v/>
      </c>
      <c r="J22" s="47">
        <v>16</v>
      </c>
      <c r="K22" s="12" t="str">
        <v/>
      </c>
      <c r="L22" s="12" t="str">
        <v/>
      </c>
      <c r="M22" s="12" t="str">
        <v/>
      </c>
      <c r="N22" s="47" t="str">
        <v/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36</v>
      </c>
    </row>
    <row r="23" spans="1:16358" ht="17" x14ac:dyDescent="0.2">
      <c r="A23" s="55" t="s">
        <v>5</v>
      </c>
      <c r="B23" s="53" t="str">
        <v>Buitre83GT</v>
      </c>
      <c r="C23" s="12" t="str">
        <v/>
      </c>
      <c r="D23" s="12">
        <v>14</v>
      </c>
      <c r="E23" s="12" t="str">
        <v/>
      </c>
      <c r="F23" s="47">
        <v>14</v>
      </c>
      <c r="G23" s="12">
        <v>1</v>
      </c>
      <c r="H23" s="12">
        <v>18</v>
      </c>
      <c r="I23" s="12" t="str">
        <v/>
      </c>
      <c r="J23" s="47">
        <v>19</v>
      </c>
      <c r="K23" s="12" t="str">
        <v/>
      </c>
      <c r="L23" s="12" t="str">
        <v/>
      </c>
      <c r="M23" s="12" t="str">
        <v/>
      </c>
      <c r="N23" s="47" t="str">
        <v/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33</v>
      </c>
    </row>
    <row r="24" spans="1:16358" ht="17" x14ac:dyDescent="0.2">
      <c r="A24" s="55" t="s">
        <v>6</v>
      </c>
      <c r="B24" s="53" t="str">
        <v>CORNAZZAI73</v>
      </c>
      <c r="C24" s="12" t="str">
        <v/>
      </c>
      <c r="D24" s="12">
        <v>16</v>
      </c>
      <c r="E24" s="12" t="str">
        <v/>
      </c>
      <c r="F24" s="47">
        <v>16</v>
      </c>
      <c r="G24" s="12" t="str">
        <v/>
      </c>
      <c r="H24" s="12">
        <v>14</v>
      </c>
      <c r="I24" s="12" t="str">
        <v/>
      </c>
      <c r="J24" s="47">
        <v>14</v>
      </c>
      <c r="K24" s="12" t="str">
        <v/>
      </c>
      <c r="L24" s="12" t="str">
        <v/>
      </c>
      <c r="M24" s="12" t="str">
        <v/>
      </c>
      <c r="N24" s="47" t="str">
        <v/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30</v>
      </c>
    </row>
    <row r="25" spans="1:16358" ht="17" x14ac:dyDescent="0.2">
      <c r="A25" s="55" t="s">
        <v>7</v>
      </c>
      <c r="B25" s="53" t="str">
        <v>GTRC_Frenkmik93</v>
      </c>
      <c r="C25" s="12" t="str">
        <v/>
      </c>
      <c r="D25" s="12">
        <v>12</v>
      </c>
      <c r="E25" s="12">
        <v>1</v>
      </c>
      <c r="F25" s="47">
        <v>13</v>
      </c>
      <c r="G25" s="12" t="str">
        <v/>
      </c>
      <c r="H25" s="12">
        <v>12</v>
      </c>
      <c r="I25" s="12" t="str">
        <v/>
      </c>
      <c r="J25" s="47">
        <v>12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25</v>
      </c>
    </row>
    <row r="26" spans="1:16358" ht="17" x14ac:dyDescent="0.2">
      <c r="A26" s="55" t="s">
        <v>8</v>
      </c>
      <c r="B26" s="53" t="str">
        <v>Freshofthezone</v>
      </c>
      <c r="C26" s="12" t="str">
        <v/>
      </c>
      <c r="D26" s="12">
        <v>8</v>
      </c>
      <c r="E26" s="12" t="str">
        <v/>
      </c>
      <c r="F26" s="47">
        <v>8</v>
      </c>
      <c r="G26" s="12" t="str">
        <v/>
      </c>
      <c r="H26" s="12">
        <v>10</v>
      </c>
      <c r="I26" s="12" t="str">
        <v/>
      </c>
      <c r="J26" s="47">
        <v>10</v>
      </c>
      <c r="K26" s="12" t="str">
        <v/>
      </c>
      <c r="L26" s="12" t="str">
        <v/>
      </c>
      <c r="M26" s="12" t="str">
        <v/>
      </c>
      <c r="N26" s="47" t="str">
        <v/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18</v>
      </c>
    </row>
    <row r="27" spans="1:16358" ht="17" x14ac:dyDescent="0.2">
      <c r="A27" s="55" t="s">
        <v>9</v>
      </c>
      <c r="B27" s="57" t="str">
        <v>GTRC_AMALA_ETNA</v>
      </c>
      <c r="C27" s="12" t="str">
        <v/>
      </c>
      <c r="D27" s="12">
        <v>10</v>
      </c>
      <c r="E27" s="12" t="str">
        <v/>
      </c>
      <c r="F27" s="47">
        <v>10</v>
      </c>
      <c r="G27" s="12" t="str">
        <v/>
      </c>
      <c r="H27" s="12">
        <v>6</v>
      </c>
      <c r="I27" s="12" t="str">
        <v/>
      </c>
      <c r="J27" s="47">
        <v>6</v>
      </c>
      <c r="K27" s="12" t="str">
        <v/>
      </c>
      <c r="L27" s="12" t="str">
        <v/>
      </c>
      <c r="M27" s="12" t="str">
        <v/>
      </c>
      <c r="N27" s="47" t="str">
        <v/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16</v>
      </c>
    </row>
    <row r="28" spans="1:16358" ht="17" x14ac:dyDescent="0.2">
      <c r="A28" s="55" t="s">
        <v>10</v>
      </c>
      <c r="B28" s="53" t="str">
        <v>Talsigiano</v>
      </c>
      <c r="C28" s="20" t="str">
        <v/>
      </c>
      <c r="D28" s="20">
        <v>5</v>
      </c>
      <c r="E28" s="20" t="str">
        <v/>
      </c>
      <c r="F28" s="47">
        <v>5</v>
      </c>
      <c r="G28" s="12" t="str">
        <v/>
      </c>
      <c r="H28" s="12">
        <v>8</v>
      </c>
      <c r="I28" s="12" t="str">
        <v/>
      </c>
      <c r="J28" s="47">
        <v>8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13</v>
      </c>
    </row>
    <row r="29" spans="1:16358" ht="17" x14ac:dyDescent="0.2">
      <c r="A29" s="55" t="s">
        <v>11</v>
      </c>
      <c r="B29" s="53" t="str">
        <v>Blokkobubbles</v>
      </c>
      <c r="C29" s="12" t="str">
        <v/>
      </c>
      <c r="D29" s="12">
        <v>6</v>
      </c>
      <c r="E29" s="12" t="str">
        <v/>
      </c>
      <c r="F29" s="47">
        <v>6</v>
      </c>
      <c r="G29" s="12" t="str">
        <v/>
      </c>
      <c r="H29" s="12">
        <v>5</v>
      </c>
      <c r="I29" s="12" t="str">
        <v/>
      </c>
      <c r="J29" s="47">
        <v>5</v>
      </c>
      <c r="K29" s="20" t="str">
        <v/>
      </c>
      <c r="L29" s="20" t="str">
        <v/>
      </c>
      <c r="M29" s="20" t="str">
        <v/>
      </c>
      <c r="N29" s="47" t="str">
        <v/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11</v>
      </c>
    </row>
    <row r="30" spans="1:16358" ht="17" x14ac:dyDescent="0.2">
      <c r="A30" s="55" t="s">
        <v>12</v>
      </c>
      <c r="B30" s="53" t="str">
        <v>jack-187-jack</v>
      </c>
      <c r="C30" s="49" t="str">
        <v/>
      </c>
      <c r="D30" s="20">
        <v>4</v>
      </c>
      <c r="E30" s="20" t="str">
        <v/>
      </c>
      <c r="F30" s="47">
        <v>4</v>
      </c>
      <c r="G30" s="12" t="str">
        <v/>
      </c>
      <c r="H30" s="12">
        <v>4</v>
      </c>
      <c r="I30" s="12" t="str">
        <v/>
      </c>
      <c r="J30" s="47">
        <v>4</v>
      </c>
      <c r="K30" s="12" t="str">
        <v/>
      </c>
      <c r="L30" s="12" t="str">
        <v/>
      </c>
      <c r="M30" s="12" t="str">
        <v/>
      </c>
      <c r="N30" s="47" t="str">
        <v/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8</v>
      </c>
    </row>
    <row r="31" spans="1:16358" ht="15" customHeight="1" x14ac:dyDescent="0.2">
      <c r="A31" s="55" t="s">
        <v>13</v>
      </c>
      <c r="B31" s="53" t="str">
        <v>Mancinelli2002</v>
      </c>
      <c r="C31" s="20" t="str">
        <v/>
      </c>
      <c r="D31" s="20">
        <v>2</v>
      </c>
      <c r="E31" s="20" t="str">
        <v/>
      </c>
      <c r="F31" s="47">
        <v>2</v>
      </c>
      <c r="G31" s="12" t="str">
        <v/>
      </c>
      <c r="H31" s="12">
        <v>3</v>
      </c>
      <c r="I31" s="12" t="str">
        <v/>
      </c>
      <c r="J31" s="47">
        <v>3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5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 t="str">
        <v/>
      </c>
      <c r="M32" s="20" t="str">
        <v/>
      </c>
      <c r="N32" s="47" t="str">
        <v/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5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88" t="s">
        <v>49</v>
      </c>
      <c r="B34" s="8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 t="str">
        <v/>
      </c>
      <c r="L35" s="12" t="str">
        <v/>
      </c>
      <c r="M35" s="12" t="str">
        <v/>
      </c>
      <c r="N35" s="47" t="str">
        <v/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54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 t="str">
        <v/>
      </c>
      <c r="M36" s="12" t="str">
        <v/>
      </c>
      <c r="N36" s="47" t="str">
        <v/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34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 t="str">
        <v/>
      </c>
      <c r="M37" s="12" t="str">
        <v/>
      </c>
      <c r="N37" s="47" t="str">
        <v/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34</v>
      </c>
    </row>
    <row r="38" spans="1:27" ht="17" x14ac:dyDescent="0.2">
      <c r="A38" s="55" t="s">
        <v>5</v>
      </c>
      <c r="B38" s="53" t="str">
        <v>RMT_GEFF-21</v>
      </c>
      <c r="C38" s="12" t="str">
        <v/>
      </c>
      <c r="D38" s="12">
        <v>14</v>
      </c>
      <c r="E38" s="12" t="str">
        <v/>
      </c>
      <c r="F38" s="47">
        <v>14</v>
      </c>
      <c r="G38" s="12" t="str">
        <v/>
      </c>
      <c r="H38" s="12">
        <v>16</v>
      </c>
      <c r="I38" s="12" t="str">
        <v/>
      </c>
      <c r="J38" s="47">
        <v>16</v>
      </c>
      <c r="K38" s="12" t="str">
        <v/>
      </c>
      <c r="L38" s="12" t="str">
        <v/>
      </c>
      <c r="M38" s="12" t="str">
        <v/>
      </c>
      <c r="N38" s="47" t="str">
        <v/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30</v>
      </c>
    </row>
    <row r="39" spans="1:27" ht="17" x14ac:dyDescent="0.2">
      <c r="A39" s="55" t="s">
        <v>6</v>
      </c>
      <c r="B39" s="53" t="str">
        <v>TLM_wid83</v>
      </c>
      <c r="C39" s="12" t="str">
        <v/>
      </c>
      <c r="D39" s="12">
        <v>18</v>
      </c>
      <c r="E39" s="12" t="str">
        <v/>
      </c>
      <c r="F39" s="47">
        <v>18</v>
      </c>
      <c r="G39" s="12" t="str">
        <v/>
      </c>
      <c r="H39" s="12">
        <v>12</v>
      </c>
      <c r="I39" s="12" t="str">
        <v/>
      </c>
      <c r="J39" s="47">
        <v>12</v>
      </c>
      <c r="K39" s="12" t="str">
        <v/>
      </c>
      <c r="L39" s="12" t="str">
        <v/>
      </c>
      <c r="M39" s="12" t="str">
        <v/>
      </c>
      <c r="N39" s="47" t="str">
        <v/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30</v>
      </c>
    </row>
    <row r="40" spans="1:27" ht="17" x14ac:dyDescent="0.2">
      <c r="A40" s="55" t="s">
        <v>7</v>
      </c>
      <c r="B40" s="53" t="str">
        <v>jet_morello</v>
      </c>
      <c r="C40" s="12" t="str">
        <v/>
      </c>
      <c r="D40" s="12">
        <v>12</v>
      </c>
      <c r="E40" s="12" t="str">
        <v/>
      </c>
      <c r="F40" s="47">
        <v>12</v>
      </c>
      <c r="G40" s="12" t="str">
        <v/>
      </c>
      <c r="H40" s="12">
        <v>10</v>
      </c>
      <c r="I40" s="12" t="str">
        <v/>
      </c>
      <c r="J40" s="47">
        <v>10</v>
      </c>
      <c r="K40" s="20" t="str">
        <v/>
      </c>
      <c r="L40" s="20" t="str">
        <v/>
      </c>
      <c r="M40" s="20" t="str">
        <v/>
      </c>
      <c r="N40" s="47" t="str">
        <v/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22</v>
      </c>
    </row>
    <row r="41" spans="1:27" ht="17" x14ac:dyDescent="0.2">
      <c r="A41" s="55" t="s">
        <v>8</v>
      </c>
      <c r="B41" s="53" t="str">
        <v>andvea_99</v>
      </c>
      <c r="C41" s="12" t="str">
        <v/>
      </c>
      <c r="D41" s="12" t="str">
        <v/>
      </c>
      <c r="E41" s="12" t="str">
        <v/>
      </c>
      <c r="F41" s="47" t="str">
        <v/>
      </c>
      <c r="G41" s="12" t="str">
        <v/>
      </c>
      <c r="H41" s="12">
        <v>20</v>
      </c>
      <c r="I41" s="12" t="str">
        <v/>
      </c>
      <c r="J41" s="47">
        <v>20</v>
      </c>
      <c r="K41" s="12" t="str">
        <v/>
      </c>
      <c r="L41" s="12" t="str">
        <v/>
      </c>
      <c r="M41" s="12" t="str">
        <v/>
      </c>
      <c r="N41" s="47" t="str">
        <v/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20</v>
      </c>
    </row>
    <row r="42" spans="1:27" ht="17" x14ac:dyDescent="0.2">
      <c r="A42" s="55" t="s">
        <v>9</v>
      </c>
      <c r="B42" s="57" t="str">
        <v>Liotru1979</v>
      </c>
      <c r="C42" s="12" t="str">
        <v/>
      </c>
      <c r="D42" s="12">
        <v>8</v>
      </c>
      <c r="E42" s="12" t="str">
        <v/>
      </c>
      <c r="F42" s="47">
        <v>8</v>
      </c>
      <c r="G42" s="12" t="str">
        <v/>
      </c>
      <c r="H42" s="12">
        <v>8</v>
      </c>
      <c r="I42" s="12" t="str">
        <v/>
      </c>
      <c r="J42" s="47">
        <v>8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16</v>
      </c>
    </row>
    <row r="43" spans="1:27" ht="17" x14ac:dyDescent="0.2">
      <c r="A43" s="55" t="s">
        <v>10</v>
      </c>
      <c r="B43" s="53" t="str">
        <v>madonte</v>
      </c>
      <c r="C43" s="20" t="str">
        <v/>
      </c>
      <c r="D43" s="20">
        <v>10</v>
      </c>
      <c r="E43" s="20" t="str">
        <v/>
      </c>
      <c r="F43" s="47">
        <v>10</v>
      </c>
      <c r="G43" s="12" t="str">
        <v/>
      </c>
      <c r="H43" s="12">
        <v>6</v>
      </c>
      <c r="I43" s="12" t="str">
        <v/>
      </c>
      <c r="J43" s="47">
        <v>6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 t="str">
        <v/>
      </c>
      <c r="M44" s="20" t="str">
        <v/>
      </c>
      <c r="N44" s="47" t="str">
        <v/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11</v>
      </c>
    </row>
    <row r="45" spans="1:27" ht="17" x14ac:dyDescent="0.2">
      <c r="A45" s="55" t="s">
        <v>12</v>
      </c>
      <c r="B45" s="53" t="str">
        <v>mirkozaffaron296</v>
      </c>
      <c r="C45" s="49" t="str">
        <v/>
      </c>
      <c r="D45" s="20">
        <v>4</v>
      </c>
      <c r="E45" s="20" t="str">
        <v/>
      </c>
      <c r="F45" s="47">
        <v>4</v>
      </c>
      <c r="G45" s="12" t="str">
        <v/>
      </c>
      <c r="H45" s="12">
        <v>4</v>
      </c>
      <c r="I45" s="12" t="str">
        <v/>
      </c>
      <c r="J45" s="47">
        <v>4</v>
      </c>
      <c r="K45" s="12" t="str">
        <v/>
      </c>
      <c r="L45" s="12" t="str">
        <v/>
      </c>
      <c r="M45" s="12" t="str">
        <v/>
      </c>
      <c r="N45" s="47" t="str">
        <v/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8</v>
      </c>
    </row>
    <row r="46" spans="1:27" ht="17" x14ac:dyDescent="0.2">
      <c r="A46" s="55" t="s">
        <v>13</v>
      </c>
      <c r="B46" s="53" t="str">
        <v>TLM_CaLiGoLa</v>
      </c>
      <c r="C46" s="20" t="str">
        <v/>
      </c>
      <c r="D46" s="20">
        <v>5</v>
      </c>
      <c r="E46" s="20" t="str">
        <v/>
      </c>
      <c r="F46" s="47">
        <v>5</v>
      </c>
      <c r="G46" s="12" t="str">
        <v/>
      </c>
      <c r="H46" s="12" t="str">
        <v/>
      </c>
      <c r="I46" s="12" t="str">
        <v/>
      </c>
      <c r="J46" s="47" t="str">
        <v/>
      </c>
      <c r="K46" s="20" t="str">
        <v/>
      </c>
      <c r="L46" s="20" t="str">
        <v/>
      </c>
      <c r="M46" s="20" t="str">
        <v/>
      </c>
      <c r="N46" s="47" t="str">
        <v/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5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 t="str">
        <v/>
      </c>
      <c r="M47" s="20" t="str">
        <v/>
      </c>
      <c r="N47" s="47" t="str">
        <v/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3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90" t="s">
        <v>50</v>
      </c>
      <c r="B49" s="103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 t="str">
        <v/>
      </c>
      <c r="L50" s="12" t="str">
        <v/>
      </c>
      <c r="M50" s="12" t="str">
        <v/>
      </c>
      <c r="N50" s="47" t="str">
        <v/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48</v>
      </c>
    </row>
    <row r="51" spans="1:27" ht="17" x14ac:dyDescent="0.2">
      <c r="A51" s="54" t="s">
        <v>3</v>
      </c>
      <c r="B51" s="53" t="str">
        <v>DRT-Mirkobenny85</v>
      </c>
      <c r="C51" s="12" t="str">
        <v/>
      </c>
      <c r="D51" s="12">
        <v>25</v>
      </c>
      <c r="E51" s="12" t="str">
        <v/>
      </c>
      <c r="F51" s="47">
        <v>25</v>
      </c>
      <c r="G51" s="12" t="str">
        <v/>
      </c>
      <c r="H51" s="12">
        <v>16</v>
      </c>
      <c r="I51" s="12" t="str">
        <v/>
      </c>
      <c r="J51" s="47">
        <v>16</v>
      </c>
      <c r="K51" s="12" t="str">
        <v/>
      </c>
      <c r="L51" s="12" t="str">
        <v/>
      </c>
      <c r="M51" s="12" t="str">
        <v/>
      </c>
      <c r="N51" s="47" t="str">
        <v/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41</v>
      </c>
    </row>
    <row r="52" spans="1:27" ht="17" x14ac:dyDescent="0.2">
      <c r="A52" s="55" t="s">
        <v>4</v>
      </c>
      <c r="B52" s="53" t="str">
        <v>Parenji</v>
      </c>
      <c r="C52" s="12" t="str">
        <v/>
      </c>
      <c r="D52" s="12">
        <v>14</v>
      </c>
      <c r="E52" s="12" t="str">
        <v/>
      </c>
      <c r="F52" s="47">
        <v>14</v>
      </c>
      <c r="G52" s="12" t="str">
        <v/>
      </c>
      <c r="H52" s="12">
        <v>18</v>
      </c>
      <c r="I52" s="12" t="str">
        <v/>
      </c>
      <c r="J52" s="47">
        <v>18</v>
      </c>
      <c r="K52" s="12" t="str">
        <v/>
      </c>
      <c r="L52" s="12" t="str">
        <v/>
      </c>
      <c r="M52" s="12" t="str">
        <v/>
      </c>
      <c r="N52" s="47" t="str">
        <v/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32</v>
      </c>
    </row>
    <row r="53" spans="1:27" ht="17" x14ac:dyDescent="0.2">
      <c r="A53" s="55" t="s">
        <v>5</v>
      </c>
      <c r="B53" s="53" t="str">
        <v>X-Gianni-</v>
      </c>
      <c r="C53" s="12" t="str">
        <v/>
      </c>
      <c r="D53" s="12">
        <v>18</v>
      </c>
      <c r="E53" s="12" t="str">
        <v/>
      </c>
      <c r="F53" s="47">
        <v>18</v>
      </c>
      <c r="G53" s="12" t="str">
        <v/>
      </c>
      <c r="H53" s="12">
        <v>12</v>
      </c>
      <c r="I53" s="12" t="str">
        <v/>
      </c>
      <c r="J53" s="47">
        <v>12</v>
      </c>
      <c r="K53" s="12" t="str">
        <v/>
      </c>
      <c r="L53" s="12" t="str">
        <v/>
      </c>
      <c r="M53" s="12" t="str">
        <v/>
      </c>
      <c r="N53" s="47" t="str">
        <v/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30</v>
      </c>
    </row>
    <row r="54" spans="1:27" ht="17" x14ac:dyDescent="0.2">
      <c r="A54" s="55" t="s">
        <v>6</v>
      </c>
      <c r="B54" s="53" t="str">
        <v>Mikedb__91__</v>
      </c>
      <c r="C54" s="12" t="str">
        <v/>
      </c>
      <c r="D54" s="12">
        <v>12</v>
      </c>
      <c r="E54" s="12" t="str">
        <v/>
      </c>
      <c r="F54" s="47">
        <v>12</v>
      </c>
      <c r="G54" s="12" t="str">
        <v/>
      </c>
      <c r="H54" s="12">
        <v>14</v>
      </c>
      <c r="I54" s="12" t="str">
        <v/>
      </c>
      <c r="J54" s="47">
        <v>14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26</v>
      </c>
    </row>
    <row r="55" spans="1:27" ht="17" x14ac:dyDescent="0.2">
      <c r="A55" s="55" t="s">
        <v>7</v>
      </c>
      <c r="B55" s="53" t="str">
        <v>Pennysss71</v>
      </c>
      <c r="C55" s="12" t="str">
        <v/>
      </c>
      <c r="D55" s="12" t="str">
        <v/>
      </c>
      <c r="E55" s="12" t="str">
        <v/>
      </c>
      <c r="F55" s="47" t="str">
        <v/>
      </c>
      <c r="G55" s="12" t="str">
        <v/>
      </c>
      <c r="H55" s="12">
        <v>20</v>
      </c>
      <c r="I55" s="12" t="str">
        <v/>
      </c>
      <c r="J55" s="47">
        <v>20</v>
      </c>
      <c r="K55" s="20" t="str">
        <v/>
      </c>
      <c r="L55" s="20" t="str">
        <v/>
      </c>
      <c r="M55" s="20" t="str">
        <v/>
      </c>
      <c r="N55" s="47" t="str">
        <v/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20</v>
      </c>
    </row>
    <row r="56" spans="1:27" ht="17" x14ac:dyDescent="0.2">
      <c r="A56" s="55" t="s">
        <v>8</v>
      </c>
      <c r="B56" s="53" t="str">
        <v>Tonyroto74</v>
      </c>
      <c r="C56" s="12" t="str">
        <v/>
      </c>
      <c r="D56" s="12">
        <v>10</v>
      </c>
      <c r="E56" s="12" t="str">
        <v/>
      </c>
      <c r="F56" s="47">
        <v>10</v>
      </c>
      <c r="G56" s="12" t="str">
        <v/>
      </c>
      <c r="H56" s="12">
        <v>10</v>
      </c>
      <c r="I56" s="12" t="str">
        <v/>
      </c>
      <c r="J56" s="47">
        <v>10</v>
      </c>
      <c r="K56" s="12" t="str">
        <v/>
      </c>
      <c r="L56" s="12" t="str">
        <v/>
      </c>
      <c r="M56" s="12" t="str">
        <v/>
      </c>
      <c r="N56" s="47" t="str">
        <v/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20</v>
      </c>
    </row>
    <row r="57" spans="1:27" ht="17" x14ac:dyDescent="0.2">
      <c r="A57" s="55" t="s">
        <v>9</v>
      </c>
      <c r="B57" s="57" t="str">
        <v>Silentium884</v>
      </c>
      <c r="C57" s="12" t="str">
        <v/>
      </c>
      <c r="D57" s="12">
        <v>16</v>
      </c>
      <c r="E57" s="12" t="str">
        <v/>
      </c>
      <c r="F57" s="47">
        <v>16</v>
      </c>
      <c r="G57" s="12" t="str">
        <v/>
      </c>
      <c r="H57" s="12" t="str">
        <v/>
      </c>
      <c r="I57" s="12" t="str">
        <v/>
      </c>
      <c r="J57" s="47" t="str">
        <v/>
      </c>
      <c r="K57" s="12" t="str">
        <v/>
      </c>
      <c r="L57" s="12" t="str">
        <v/>
      </c>
      <c r="M57" s="12" t="str">
        <v/>
      </c>
      <c r="N57" s="47" t="str">
        <v/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16</v>
      </c>
    </row>
    <row r="58" spans="1:27" ht="17" x14ac:dyDescent="0.2">
      <c r="A58" s="55" t="s">
        <v>10</v>
      </c>
      <c r="B58" s="53" t="str">
        <v>Dani_CT1946</v>
      </c>
      <c r="C58" s="20" t="str">
        <v/>
      </c>
      <c r="D58" s="20">
        <v>8</v>
      </c>
      <c r="E58" s="20" t="str">
        <v/>
      </c>
      <c r="F58" s="47">
        <v>8</v>
      </c>
      <c r="G58" s="12" t="str">
        <v/>
      </c>
      <c r="H58" s="12">
        <v>8</v>
      </c>
      <c r="I58" s="12" t="str">
        <v/>
      </c>
      <c r="J58" s="47">
        <v>8</v>
      </c>
      <c r="K58" s="12" t="str">
        <v/>
      </c>
      <c r="L58" s="12" t="str">
        <v/>
      </c>
      <c r="M58" s="12" t="str">
        <v/>
      </c>
      <c r="N58" s="47" t="str">
        <v/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16</v>
      </c>
    </row>
    <row r="59" spans="1:27" ht="17" x14ac:dyDescent="0.2">
      <c r="A59" s="55" t="s">
        <v>11</v>
      </c>
      <c r="B59" s="53" t="str">
        <v>Dimaaa66</v>
      </c>
      <c r="C59" s="12" t="str">
        <v/>
      </c>
      <c r="D59" s="12">
        <v>6</v>
      </c>
      <c r="E59" s="12" t="str">
        <v/>
      </c>
      <c r="F59" s="47">
        <v>6</v>
      </c>
      <c r="G59" s="12" t="str">
        <v/>
      </c>
      <c r="H59" s="12">
        <v>4</v>
      </c>
      <c r="I59" s="12" t="str">
        <v/>
      </c>
      <c r="J59" s="47">
        <v>4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10</v>
      </c>
    </row>
    <row r="60" spans="1:27" ht="17" x14ac:dyDescent="0.2">
      <c r="A60" s="55" t="s">
        <v>12</v>
      </c>
      <c r="B60" s="53" t="str">
        <v>recidivo92</v>
      </c>
      <c r="C60" s="49" t="str">
        <v/>
      </c>
      <c r="D60" s="20">
        <v>3</v>
      </c>
      <c r="E60" s="20" t="str">
        <v/>
      </c>
      <c r="F60" s="47">
        <v>3</v>
      </c>
      <c r="G60" s="12" t="str">
        <v/>
      </c>
      <c r="H60" s="12">
        <v>6</v>
      </c>
      <c r="I60" s="12" t="str">
        <v/>
      </c>
      <c r="J60" s="47">
        <v>6</v>
      </c>
      <c r="K60" s="12" t="str">
        <v/>
      </c>
      <c r="L60" s="12" t="str">
        <v/>
      </c>
      <c r="M60" s="12" t="str">
        <v/>
      </c>
      <c r="N60" s="47" t="str">
        <v/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9</v>
      </c>
    </row>
    <row r="61" spans="1:27" ht="17" x14ac:dyDescent="0.2">
      <c r="A61" s="55" t="s">
        <v>13</v>
      </c>
      <c r="B61" s="53" t="str">
        <v>mettiukc</v>
      </c>
      <c r="C61" s="20" t="str">
        <v/>
      </c>
      <c r="D61" s="20">
        <v>5</v>
      </c>
      <c r="E61" s="20" t="str">
        <v/>
      </c>
      <c r="F61" s="47">
        <v>5</v>
      </c>
      <c r="G61" s="12" t="str">
        <v/>
      </c>
      <c r="H61" s="12">
        <v>3</v>
      </c>
      <c r="I61" s="12" t="str">
        <v/>
      </c>
      <c r="J61" s="47">
        <v>3</v>
      </c>
      <c r="K61" s="20" t="str">
        <v/>
      </c>
      <c r="L61" s="20" t="str">
        <v/>
      </c>
      <c r="M61" s="20" t="str">
        <v/>
      </c>
      <c r="N61" s="47" t="str">
        <v/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8</v>
      </c>
    </row>
    <row r="62" spans="1:27" ht="17" x14ac:dyDescent="0.2">
      <c r="A62" s="55" t="s">
        <v>20</v>
      </c>
      <c r="B62" s="53" t="str">
        <v>Rikas78</v>
      </c>
      <c r="C62" s="20" t="str">
        <v/>
      </c>
      <c r="D62" s="20">
        <v>2</v>
      </c>
      <c r="E62" s="20" t="str">
        <v/>
      </c>
      <c r="F62" s="47">
        <v>2</v>
      </c>
      <c r="G62" s="20" t="str">
        <v/>
      </c>
      <c r="H62" s="20">
        <v>5</v>
      </c>
      <c r="I62" s="20" t="str">
        <v/>
      </c>
      <c r="J62" s="47">
        <v>5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7</v>
      </c>
    </row>
    <row r="63" spans="1:27" ht="17" x14ac:dyDescent="0.2">
      <c r="A63" s="55" t="s">
        <v>21</v>
      </c>
      <c r="B63" s="53" t="str">
        <v>Costanzo-Mirko90</v>
      </c>
      <c r="C63" s="20" t="str">
        <v/>
      </c>
      <c r="D63" s="20">
        <v>4</v>
      </c>
      <c r="E63" s="20" t="str">
        <v/>
      </c>
      <c r="F63" s="47">
        <v>4</v>
      </c>
      <c r="G63" s="20" t="str">
        <v/>
      </c>
      <c r="H63" s="20">
        <v>2</v>
      </c>
      <c r="I63" s="20" t="str">
        <v/>
      </c>
      <c r="J63" s="47">
        <v>2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6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99" t="s">
        <v>42</v>
      </c>
      <c r="B66" s="100"/>
      <c r="C66" s="95" t="s">
        <v>46</v>
      </c>
      <c r="D66" s="96"/>
      <c r="E66" s="96"/>
      <c r="F66" s="97"/>
      <c r="G66" s="95" t="s">
        <v>40</v>
      </c>
      <c r="H66" s="96"/>
      <c r="I66" s="96"/>
      <c r="J66" s="97"/>
      <c r="K66" s="95" t="s">
        <v>47</v>
      </c>
      <c r="L66" s="96"/>
      <c r="M66" s="96"/>
      <c r="N66" s="97"/>
      <c r="O66" s="95" t="s">
        <v>39</v>
      </c>
      <c r="P66" s="96"/>
      <c r="Q66" s="96"/>
      <c r="R66" s="97"/>
      <c r="S66" s="95" t="s">
        <v>41</v>
      </c>
      <c r="T66" s="96"/>
      <c r="U66" s="96"/>
      <c r="V66" s="97"/>
      <c r="W66" s="95" t="s">
        <v>48</v>
      </c>
      <c r="X66" s="96"/>
      <c r="Y66" s="96"/>
      <c r="Z66" s="97"/>
      <c r="AA66" s="104" t="s">
        <v>34</v>
      </c>
    </row>
    <row r="67" spans="1:27" ht="27" x14ac:dyDescent="0.2">
      <c r="A67" s="101"/>
      <c r="B67" s="102"/>
      <c r="C67" s="21" t="s">
        <v>17</v>
      </c>
      <c r="D67" s="22" t="s">
        <v>1</v>
      </c>
      <c r="E67" s="23" t="s">
        <v>18</v>
      </c>
      <c r="F67" s="50" t="s">
        <v>35</v>
      </c>
      <c r="G67" s="21" t="s">
        <v>17</v>
      </c>
      <c r="H67" s="22" t="s">
        <v>1</v>
      </c>
      <c r="I67" s="23" t="s">
        <v>18</v>
      </c>
      <c r="J67" s="50" t="s">
        <v>35</v>
      </c>
      <c r="K67" s="21" t="s">
        <v>17</v>
      </c>
      <c r="L67" s="22" t="s">
        <v>1</v>
      </c>
      <c r="M67" s="23" t="s">
        <v>18</v>
      </c>
      <c r="N67" s="50" t="s">
        <v>35</v>
      </c>
      <c r="O67" s="21" t="s">
        <v>17</v>
      </c>
      <c r="P67" s="22" t="s">
        <v>1</v>
      </c>
      <c r="Q67" s="23" t="s">
        <v>18</v>
      </c>
      <c r="R67" s="50" t="s">
        <v>35</v>
      </c>
      <c r="S67" s="21" t="s">
        <v>17</v>
      </c>
      <c r="T67" s="22" t="s">
        <v>1</v>
      </c>
      <c r="U67" s="23" t="s">
        <v>18</v>
      </c>
      <c r="V67" s="50" t="s">
        <v>35</v>
      </c>
      <c r="W67" s="21" t="s">
        <v>17</v>
      </c>
      <c r="X67" s="22" t="s">
        <v>1</v>
      </c>
      <c r="Y67" s="23" t="s">
        <v>18</v>
      </c>
      <c r="Z67" s="50" t="s">
        <v>35</v>
      </c>
      <c r="AA67" s="105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 t="str">
        <v/>
      </c>
      <c r="L68" s="12" t="str">
        <v/>
      </c>
      <c r="M68" s="12" t="str">
        <v/>
      </c>
      <c r="N68" s="47" t="str">
        <v/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54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 t="str">
        <v/>
      </c>
      <c r="L69" s="12" t="str">
        <v/>
      </c>
      <c r="M69" s="12" t="str">
        <v/>
      </c>
      <c r="N69" s="47" t="str">
        <v/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54</v>
      </c>
    </row>
    <row r="70" spans="1:27" ht="17" x14ac:dyDescent="0.25">
      <c r="A70" s="28">
        <v>3</v>
      </c>
      <c r="B70" s="29" t="str">
        <v>BAD_Brucem84</v>
      </c>
      <c r="C70" s="12">
        <v>1</v>
      </c>
      <c r="D70" s="12">
        <v>25</v>
      </c>
      <c r="E70" s="12" t="str">
        <v/>
      </c>
      <c r="F70" s="47">
        <v>26</v>
      </c>
      <c r="G70" s="12" t="str">
        <v/>
      </c>
      <c r="H70" s="12">
        <v>25</v>
      </c>
      <c r="I70" s="12" t="str">
        <v/>
      </c>
      <c r="J70" s="47">
        <v>25</v>
      </c>
      <c r="K70" s="12" t="str">
        <v/>
      </c>
      <c r="L70" s="12" t="str">
        <v/>
      </c>
      <c r="M70" s="12" t="str">
        <v/>
      </c>
      <c r="N70" s="47" t="str">
        <v/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51</v>
      </c>
    </row>
    <row r="71" spans="1:27" ht="18" x14ac:dyDescent="0.25">
      <c r="A71" s="28">
        <v>4</v>
      </c>
      <c r="B71" s="58" t="str">
        <v>RMT _SILVERMAN-AC</v>
      </c>
      <c r="C71" s="12">
        <v>1</v>
      </c>
      <c r="D71" s="12">
        <v>20</v>
      </c>
      <c r="E71" s="12" t="str">
        <v/>
      </c>
      <c r="F71" s="47">
        <v>21</v>
      </c>
      <c r="G71" s="12">
        <v>1</v>
      </c>
      <c r="H71" s="12">
        <v>25</v>
      </c>
      <c r="I71" s="12">
        <v>1</v>
      </c>
      <c r="J71" s="47">
        <v>27</v>
      </c>
      <c r="K71" s="12" t="str">
        <v/>
      </c>
      <c r="L71" s="12" t="str">
        <v/>
      </c>
      <c r="M71" s="12" t="str">
        <v/>
      </c>
      <c r="N71" s="47" t="str">
        <v/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48</v>
      </c>
    </row>
    <row r="72" spans="1:27" ht="17" x14ac:dyDescent="0.25">
      <c r="A72" s="28">
        <v>5</v>
      </c>
      <c r="B72" s="29" t="str">
        <v>DRT-Mirkobenny85</v>
      </c>
      <c r="C72" s="12" t="str">
        <v/>
      </c>
      <c r="D72" s="12">
        <v>25</v>
      </c>
      <c r="E72" s="12" t="str">
        <v/>
      </c>
      <c r="F72" s="47">
        <v>25</v>
      </c>
      <c r="G72" s="12" t="str">
        <v/>
      </c>
      <c r="H72" s="12">
        <v>16</v>
      </c>
      <c r="I72" s="12" t="str">
        <v/>
      </c>
      <c r="J72" s="47">
        <v>16</v>
      </c>
      <c r="K72" s="12" t="str">
        <v/>
      </c>
      <c r="L72" s="12" t="str">
        <v/>
      </c>
      <c r="M72" s="12" t="str">
        <v/>
      </c>
      <c r="N72" s="47" t="str">
        <v/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41</v>
      </c>
    </row>
    <row r="73" spans="1:27" ht="17" x14ac:dyDescent="0.25">
      <c r="A73" s="28">
        <v>6</v>
      </c>
      <c r="B73" s="29" t="str">
        <v>Pointshark</v>
      </c>
      <c r="C73" s="12" t="str">
        <v/>
      </c>
      <c r="D73" s="12">
        <v>18</v>
      </c>
      <c r="E73" s="12">
        <v>1</v>
      </c>
      <c r="F73" s="47">
        <v>19</v>
      </c>
      <c r="G73" s="12" t="str">
        <v/>
      </c>
      <c r="H73" s="12">
        <v>20</v>
      </c>
      <c r="I73" s="12">
        <v>1</v>
      </c>
      <c r="J73" s="47">
        <v>21</v>
      </c>
      <c r="K73" s="20" t="str">
        <v/>
      </c>
      <c r="L73" s="20" t="str">
        <v/>
      </c>
      <c r="M73" s="20" t="str">
        <v/>
      </c>
      <c r="N73" s="47" t="str">
        <v/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40</v>
      </c>
    </row>
    <row r="74" spans="1:27" ht="17" x14ac:dyDescent="0.25">
      <c r="A74" s="28">
        <v>7</v>
      </c>
      <c r="B74" s="29" t="str">
        <v>Bobgre93</v>
      </c>
      <c r="C74" s="12" t="str">
        <v/>
      </c>
      <c r="D74" s="12">
        <v>20</v>
      </c>
      <c r="E74" s="12" t="str">
        <v/>
      </c>
      <c r="F74" s="47">
        <v>20</v>
      </c>
      <c r="G74" s="12" t="str">
        <v/>
      </c>
      <c r="H74" s="12">
        <v>16</v>
      </c>
      <c r="I74" s="12" t="str">
        <v/>
      </c>
      <c r="J74" s="47">
        <v>16</v>
      </c>
      <c r="K74" s="12" t="str">
        <v/>
      </c>
      <c r="L74" s="12" t="str">
        <v/>
      </c>
      <c r="M74" s="12" t="str">
        <v/>
      </c>
      <c r="N74" s="47" t="str">
        <v/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36</v>
      </c>
    </row>
    <row r="75" spans="1:27" ht="17" x14ac:dyDescent="0.25">
      <c r="A75" s="28">
        <v>8</v>
      </c>
      <c r="B75" s="29" t="str">
        <v>TLM_SKIZZO 34</v>
      </c>
      <c r="C75" s="43" t="str">
        <v/>
      </c>
      <c r="D75" s="43">
        <v>16</v>
      </c>
      <c r="E75" s="43" t="str">
        <v/>
      </c>
      <c r="F75" s="48">
        <v>16</v>
      </c>
      <c r="G75" s="43" t="str">
        <v/>
      </c>
      <c r="H75" s="43">
        <v>18</v>
      </c>
      <c r="I75" s="43" t="str">
        <v/>
      </c>
      <c r="J75" s="48">
        <v>18</v>
      </c>
      <c r="K75" s="43" t="str">
        <v/>
      </c>
      <c r="L75" s="43" t="str">
        <v/>
      </c>
      <c r="M75" s="43" t="str">
        <v/>
      </c>
      <c r="N75" s="48" t="str">
        <v/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34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 t="str">
        <v/>
      </c>
      <c r="M76" s="12" t="str">
        <v/>
      </c>
      <c r="N76" s="47" t="str">
        <v/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34</v>
      </c>
    </row>
    <row r="77" spans="1:27" ht="17" x14ac:dyDescent="0.25">
      <c r="A77" s="28">
        <v>10</v>
      </c>
      <c r="B77" s="29" t="str">
        <v>Buitre83GT</v>
      </c>
      <c r="C77" s="12" t="str">
        <v/>
      </c>
      <c r="D77" s="12">
        <v>14</v>
      </c>
      <c r="E77" s="12" t="str">
        <v/>
      </c>
      <c r="F77" s="47">
        <v>14</v>
      </c>
      <c r="G77" s="12">
        <v>1</v>
      </c>
      <c r="H77" s="12">
        <v>18</v>
      </c>
      <c r="I77" s="12" t="str">
        <v/>
      </c>
      <c r="J77" s="47">
        <v>19</v>
      </c>
      <c r="K77" s="20" t="str">
        <v/>
      </c>
      <c r="L77" s="20" t="str">
        <v/>
      </c>
      <c r="M77" s="20" t="str">
        <v/>
      </c>
      <c r="N77" s="47" t="str">
        <v/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33</v>
      </c>
    </row>
    <row r="78" spans="1:27" ht="17" x14ac:dyDescent="0.25">
      <c r="A78" s="28">
        <v>11</v>
      </c>
      <c r="B78" s="29" t="str">
        <v>Marco-super-gt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14</v>
      </c>
      <c r="I78" s="12" t="str">
        <v/>
      </c>
      <c r="J78" s="47">
        <v>14</v>
      </c>
      <c r="K78" s="12" t="str">
        <v/>
      </c>
      <c r="L78" s="12" t="str">
        <v/>
      </c>
      <c r="M78" s="12" t="str">
        <v/>
      </c>
      <c r="N78" s="47" t="str">
        <v/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32</v>
      </c>
    </row>
    <row r="79" spans="1:27" ht="17" x14ac:dyDescent="0.25">
      <c r="A79" s="28">
        <v>12</v>
      </c>
      <c r="B79" s="29" t="str">
        <v>Parenji</v>
      </c>
      <c r="C79" s="20" t="str">
        <v/>
      </c>
      <c r="D79" s="20">
        <v>14</v>
      </c>
      <c r="E79" s="20" t="str">
        <v/>
      </c>
      <c r="F79" s="47">
        <v>14</v>
      </c>
      <c r="G79" s="12" t="str">
        <v/>
      </c>
      <c r="H79" s="12">
        <v>18</v>
      </c>
      <c r="I79" s="12" t="str">
        <v/>
      </c>
      <c r="J79" s="47">
        <v>18</v>
      </c>
      <c r="K79" s="20" t="str">
        <v/>
      </c>
      <c r="L79" s="20" t="str">
        <v/>
      </c>
      <c r="M79" s="20" t="str">
        <v/>
      </c>
      <c r="N79" s="47" t="str">
        <v/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32</v>
      </c>
    </row>
    <row r="80" spans="1:27" ht="17" x14ac:dyDescent="0.25">
      <c r="A80" s="28">
        <v>13</v>
      </c>
      <c r="B80" s="29" t="str">
        <v>TLM_Kappa</v>
      </c>
      <c r="C80" s="20" t="str">
        <v/>
      </c>
      <c r="D80" s="20">
        <v>20</v>
      </c>
      <c r="E80" s="20" t="str">
        <v/>
      </c>
      <c r="F80" s="47">
        <v>20</v>
      </c>
      <c r="G80" s="20" t="str">
        <v/>
      </c>
      <c r="H80" s="20">
        <v>10</v>
      </c>
      <c r="I80" s="20" t="str">
        <v/>
      </c>
      <c r="J80" s="47">
        <v>10</v>
      </c>
      <c r="K80" s="20" t="str">
        <v/>
      </c>
      <c r="L80" s="20" t="str">
        <v/>
      </c>
      <c r="M80" s="20" t="str">
        <v/>
      </c>
      <c r="N80" s="47" t="str">
        <v/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30</v>
      </c>
    </row>
    <row r="81" spans="1:27" ht="17" x14ac:dyDescent="0.25">
      <c r="A81" s="28">
        <v>14</v>
      </c>
      <c r="B81" s="29" t="str">
        <v>CORNAZZAI73</v>
      </c>
      <c r="C81" s="20" t="str">
        <v/>
      </c>
      <c r="D81" s="20">
        <v>16</v>
      </c>
      <c r="E81" s="20" t="str">
        <v/>
      </c>
      <c r="F81" s="47">
        <v>16</v>
      </c>
      <c r="G81" s="20" t="str">
        <v/>
      </c>
      <c r="H81" s="20">
        <v>14</v>
      </c>
      <c r="I81" s="20" t="str">
        <v/>
      </c>
      <c r="J81" s="47">
        <v>14</v>
      </c>
      <c r="K81" s="20" t="str">
        <v/>
      </c>
      <c r="L81" s="20" t="str">
        <v/>
      </c>
      <c r="M81" s="20" t="str">
        <v/>
      </c>
      <c r="N81" s="47" t="str">
        <v/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30</v>
      </c>
    </row>
    <row r="82" spans="1:27" ht="17" x14ac:dyDescent="0.25">
      <c r="A82" s="28">
        <v>15</v>
      </c>
      <c r="B82" s="29" t="str">
        <v>RMT_GEFF-21</v>
      </c>
      <c r="C82" s="12" t="str">
        <v/>
      </c>
      <c r="D82" s="12">
        <v>14</v>
      </c>
      <c r="E82" s="12" t="str">
        <v/>
      </c>
      <c r="F82" s="47">
        <v>14</v>
      </c>
      <c r="G82" s="20" t="str">
        <v/>
      </c>
      <c r="H82" s="20">
        <v>16</v>
      </c>
      <c r="I82" s="20" t="str">
        <v/>
      </c>
      <c r="J82" s="47">
        <v>16</v>
      </c>
      <c r="K82" s="20" t="str">
        <v/>
      </c>
      <c r="L82" s="20" t="str">
        <v/>
      </c>
      <c r="M82" s="20" t="str">
        <v/>
      </c>
      <c r="N82" s="47" t="str">
        <v/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30</v>
      </c>
    </row>
    <row r="83" spans="1:27" ht="17" x14ac:dyDescent="0.25">
      <c r="A83" s="28">
        <v>16</v>
      </c>
      <c r="B83" s="30" t="str">
        <v>TLM_wid83</v>
      </c>
      <c r="C83" s="12" t="str">
        <v/>
      </c>
      <c r="D83" s="12">
        <v>18</v>
      </c>
      <c r="E83" s="12" t="str">
        <v/>
      </c>
      <c r="F83" s="47">
        <v>18</v>
      </c>
      <c r="G83" s="12" t="str">
        <v/>
      </c>
      <c r="H83" s="12">
        <v>12</v>
      </c>
      <c r="I83" s="12" t="str">
        <v/>
      </c>
      <c r="J83" s="47">
        <v>12</v>
      </c>
      <c r="K83" s="12" t="str">
        <v/>
      </c>
      <c r="L83" s="12" t="str">
        <v/>
      </c>
      <c r="M83" s="12" t="str">
        <v/>
      </c>
      <c r="N83" s="47" t="str">
        <v/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30</v>
      </c>
    </row>
    <row r="84" spans="1:27" ht="17" x14ac:dyDescent="0.25">
      <c r="A84" s="28">
        <v>17</v>
      </c>
      <c r="B84" s="29" t="str">
        <v>X-Gianni-</v>
      </c>
      <c r="C84" s="12" t="str">
        <v/>
      </c>
      <c r="D84" s="12">
        <v>18</v>
      </c>
      <c r="E84" s="12" t="str">
        <v/>
      </c>
      <c r="F84" s="47">
        <v>18</v>
      </c>
      <c r="G84" s="12" t="str">
        <v/>
      </c>
      <c r="H84" s="12">
        <v>12</v>
      </c>
      <c r="I84" s="12" t="str">
        <v/>
      </c>
      <c r="J84" s="47">
        <v>12</v>
      </c>
      <c r="K84" s="12" t="str">
        <v/>
      </c>
      <c r="L84" s="12" t="str">
        <v/>
      </c>
      <c r="M84" s="12" t="str">
        <v/>
      </c>
      <c r="N84" s="47" t="str">
        <v/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30</v>
      </c>
    </row>
    <row r="85" spans="1:27" ht="17" x14ac:dyDescent="0.25">
      <c r="A85" s="28">
        <v>18</v>
      </c>
      <c r="B85" s="29" t="str">
        <v>xRUA85x</v>
      </c>
      <c r="C85" s="12" t="str">
        <v/>
      </c>
      <c r="D85" s="12">
        <v>12</v>
      </c>
      <c r="E85" s="12" t="str">
        <v/>
      </c>
      <c r="F85" s="47">
        <v>12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28</v>
      </c>
    </row>
    <row r="86" spans="1:27" ht="17" x14ac:dyDescent="0.25">
      <c r="A86" s="28">
        <v>19</v>
      </c>
      <c r="B86" s="29" t="str">
        <v>Mikedb__91__</v>
      </c>
      <c r="C86" s="12" t="str">
        <v/>
      </c>
      <c r="D86" s="12">
        <v>12</v>
      </c>
      <c r="E86" s="12" t="str">
        <v/>
      </c>
      <c r="F86" s="47">
        <v>12</v>
      </c>
      <c r="G86" s="12" t="str">
        <v/>
      </c>
      <c r="H86" s="12">
        <v>14</v>
      </c>
      <c r="I86" s="12" t="str">
        <v/>
      </c>
      <c r="J86" s="47">
        <v>14</v>
      </c>
      <c r="K86" s="12" t="str">
        <v/>
      </c>
      <c r="L86" s="12" t="str">
        <v/>
      </c>
      <c r="M86" s="12" t="str">
        <v/>
      </c>
      <c r="N86" s="47" t="str">
        <v/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26</v>
      </c>
    </row>
    <row r="87" spans="1:27" ht="17" x14ac:dyDescent="0.25">
      <c r="A87" s="28">
        <v>20</v>
      </c>
      <c r="B87" s="29" t="str">
        <v>GTRC_Frenkmik93</v>
      </c>
      <c r="C87" s="12" t="str">
        <v/>
      </c>
      <c r="D87" s="12">
        <v>12</v>
      </c>
      <c r="E87" s="12">
        <v>1</v>
      </c>
      <c r="F87" s="47">
        <v>13</v>
      </c>
      <c r="G87" s="12" t="str">
        <v/>
      </c>
      <c r="H87" s="12">
        <v>12</v>
      </c>
      <c r="I87" s="12" t="str">
        <v/>
      </c>
      <c r="J87" s="47">
        <v>12</v>
      </c>
      <c r="K87" s="12" t="str">
        <v/>
      </c>
      <c r="L87" s="12" t="str">
        <v/>
      </c>
      <c r="M87" s="12" t="str">
        <v/>
      </c>
      <c r="N87" s="47" t="str">
        <v/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25</v>
      </c>
    </row>
    <row r="88" spans="1:27" ht="17" x14ac:dyDescent="0.25">
      <c r="A88" s="28">
        <v>21</v>
      </c>
      <c r="B88" s="29" t="str">
        <v>Rupetheking</v>
      </c>
      <c r="C88" s="33" t="str">
        <v/>
      </c>
      <c r="D88" s="33">
        <v>3</v>
      </c>
      <c r="E88" s="33" t="str">
        <v/>
      </c>
      <c r="F88" s="51">
        <v>3</v>
      </c>
      <c r="G88" s="33" t="str">
        <v/>
      </c>
      <c r="H88" s="33">
        <v>20</v>
      </c>
      <c r="I88" s="33" t="str">
        <v/>
      </c>
      <c r="J88" s="51">
        <v>20</v>
      </c>
      <c r="K88" s="32" t="str">
        <v/>
      </c>
      <c r="L88" s="32" t="str">
        <v/>
      </c>
      <c r="M88" s="32" t="str">
        <v/>
      </c>
      <c r="N88" s="51" t="str">
        <v/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23</v>
      </c>
    </row>
    <row r="89" spans="1:27" ht="17" x14ac:dyDescent="0.25">
      <c r="A89" s="28">
        <v>22</v>
      </c>
      <c r="B89" s="29" t="str">
        <v>jet_morello</v>
      </c>
      <c r="C89" s="12" t="str">
        <v/>
      </c>
      <c r="D89" s="12">
        <v>12</v>
      </c>
      <c r="E89" s="12" t="str">
        <v/>
      </c>
      <c r="F89" s="47">
        <v>12</v>
      </c>
      <c r="G89" s="12" t="str">
        <v/>
      </c>
      <c r="H89" s="12">
        <v>10</v>
      </c>
      <c r="I89" s="12" t="str">
        <v/>
      </c>
      <c r="J89" s="47">
        <v>10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22</v>
      </c>
    </row>
    <row r="90" spans="1:27" ht="17" x14ac:dyDescent="0.25">
      <c r="A90" s="28">
        <v>23</v>
      </c>
      <c r="B90" s="30" t="str">
        <v>andvea_99</v>
      </c>
      <c r="C90" s="43" t="str">
        <v/>
      </c>
      <c r="D90" s="43" t="str">
        <v/>
      </c>
      <c r="E90" s="43" t="str">
        <v/>
      </c>
      <c r="F90" s="48" t="str">
        <v/>
      </c>
      <c r="G90" s="43" t="str">
        <v/>
      </c>
      <c r="H90" s="43">
        <v>20</v>
      </c>
      <c r="I90" s="43" t="str">
        <v/>
      </c>
      <c r="J90" s="48">
        <v>20</v>
      </c>
      <c r="K90" s="43" t="str">
        <v/>
      </c>
      <c r="L90" s="43" t="str">
        <v/>
      </c>
      <c r="M90" s="43" t="str">
        <v/>
      </c>
      <c r="N90" s="48" t="str">
        <v/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20</v>
      </c>
    </row>
    <row r="91" spans="1:27" ht="17" x14ac:dyDescent="0.25">
      <c r="A91" s="28">
        <v>24</v>
      </c>
      <c r="B91" s="29" t="str">
        <v>Pennysss71</v>
      </c>
      <c r="C91" s="20" t="str">
        <v/>
      </c>
      <c r="D91" s="20" t="str">
        <v/>
      </c>
      <c r="E91" s="20" t="str">
        <v/>
      </c>
      <c r="F91" s="47" t="str">
        <v/>
      </c>
      <c r="G91" s="12" t="str">
        <v/>
      </c>
      <c r="H91" s="12">
        <v>20</v>
      </c>
      <c r="I91" s="12" t="str">
        <v/>
      </c>
      <c r="J91" s="47">
        <v>20</v>
      </c>
      <c r="K91" s="12" t="str">
        <v/>
      </c>
      <c r="L91" s="12" t="str">
        <v/>
      </c>
      <c r="M91" s="12" t="str">
        <v/>
      </c>
      <c r="N91" s="47" t="str">
        <v/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20</v>
      </c>
    </row>
    <row r="92" spans="1:27" ht="17" x14ac:dyDescent="0.25">
      <c r="A92" s="28">
        <v>25</v>
      </c>
      <c r="B92" s="29" t="str">
        <v>Tonyroto74</v>
      </c>
      <c r="C92" s="12" t="str">
        <v/>
      </c>
      <c r="D92" s="12">
        <v>10</v>
      </c>
      <c r="E92" s="12" t="str">
        <v/>
      </c>
      <c r="F92" s="47">
        <v>10</v>
      </c>
      <c r="G92" s="12" t="str">
        <v/>
      </c>
      <c r="H92" s="12">
        <v>10</v>
      </c>
      <c r="I92" s="12" t="str">
        <v/>
      </c>
      <c r="J92" s="47">
        <v>10</v>
      </c>
      <c r="K92" s="20" t="str">
        <v/>
      </c>
      <c r="L92" s="20" t="str">
        <v/>
      </c>
      <c r="M92" s="20" t="str">
        <v/>
      </c>
      <c r="N92" s="47" t="str">
        <v/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20</v>
      </c>
    </row>
    <row r="93" spans="1:27" ht="17" x14ac:dyDescent="0.25">
      <c r="A93" s="28">
        <v>26</v>
      </c>
      <c r="B93" s="29" t="str">
        <v>TLM_Sicily22</v>
      </c>
      <c r="C93" s="49" t="str">
        <v/>
      </c>
      <c r="D93" s="20" t="str">
        <v/>
      </c>
      <c r="E93" s="20" t="str">
        <v/>
      </c>
      <c r="F93" s="47" t="str">
        <v/>
      </c>
      <c r="G93" s="12" t="str">
        <v/>
      </c>
      <c r="H93" s="12">
        <v>18</v>
      </c>
      <c r="I93" s="12" t="str">
        <v/>
      </c>
      <c r="J93" s="47">
        <v>18</v>
      </c>
      <c r="K93" s="12" t="str">
        <v/>
      </c>
      <c r="L93" s="12" t="str">
        <v/>
      </c>
      <c r="M93" s="12" t="str">
        <v/>
      </c>
      <c r="N93" s="47" t="str">
        <v/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18</v>
      </c>
    </row>
    <row r="94" spans="1:27" ht="17" x14ac:dyDescent="0.25">
      <c r="A94" s="28">
        <v>27</v>
      </c>
      <c r="B94" s="29" t="str">
        <v>TLM_michaelfox12</v>
      </c>
      <c r="C94" s="20" t="str">
        <v/>
      </c>
      <c r="D94" s="20">
        <v>6</v>
      </c>
      <c r="E94" s="20" t="str">
        <v/>
      </c>
      <c r="F94" s="47">
        <v>6</v>
      </c>
      <c r="G94" s="12" t="str">
        <v/>
      </c>
      <c r="H94" s="12">
        <v>12</v>
      </c>
      <c r="I94" s="12" t="str">
        <v/>
      </c>
      <c r="J94" s="47">
        <v>12</v>
      </c>
      <c r="K94" s="20" t="str">
        <v/>
      </c>
      <c r="L94" s="20" t="str">
        <v/>
      </c>
      <c r="M94" s="20" t="str">
        <v/>
      </c>
      <c r="N94" s="47" t="str">
        <v/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18</v>
      </c>
    </row>
    <row r="95" spans="1:27" ht="17" x14ac:dyDescent="0.25">
      <c r="A95" s="28">
        <v>28</v>
      </c>
      <c r="B95" s="29" t="str">
        <v>Freshofthezone</v>
      </c>
      <c r="C95" s="20" t="str">
        <v/>
      </c>
      <c r="D95" s="20">
        <v>8</v>
      </c>
      <c r="E95" s="20" t="str">
        <v/>
      </c>
      <c r="F95" s="47">
        <v>8</v>
      </c>
      <c r="G95" s="20" t="str">
        <v/>
      </c>
      <c r="H95" s="20">
        <v>10</v>
      </c>
      <c r="I95" s="20" t="str">
        <v/>
      </c>
      <c r="J95" s="47">
        <v>10</v>
      </c>
      <c r="K95" s="20" t="str">
        <v/>
      </c>
      <c r="L95" s="20" t="str">
        <v/>
      </c>
      <c r="M95" s="20" t="str">
        <v/>
      </c>
      <c r="N95" s="47" t="str">
        <v/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18</v>
      </c>
    </row>
    <row r="96" spans="1:27" ht="17" x14ac:dyDescent="0.25">
      <c r="A96" s="28">
        <v>29</v>
      </c>
      <c r="B96" s="29" t="str">
        <v>Selpa974</v>
      </c>
      <c r="C96" s="20" t="str">
        <v/>
      </c>
      <c r="D96" s="20">
        <v>16</v>
      </c>
      <c r="E96" s="20" t="str">
        <v/>
      </c>
      <c r="F96" s="47">
        <v>16</v>
      </c>
      <c r="G96" s="20" t="str">
        <v/>
      </c>
      <c r="H96" s="20" t="str">
        <v/>
      </c>
      <c r="I96" s="20" t="str">
        <v/>
      </c>
      <c r="J96" s="47" t="str">
        <v/>
      </c>
      <c r="K96" s="20" t="str">
        <v/>
      </c>
      <c r="L96" s="20" t="str">
        <v/>
      </c>
      <c r="M96" s="20" t="str">
        <v/>
      </c>
      <c r="N96" s="47" t="str">
        <v/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16</v>
      </c>
    </row>
    <row r="97" spans="1:27" ht="17" x14ac:dyDescent="0.25">
      <c r="A97" s="28">
        <v>30</v>
      </c>
      <c r="B97" s="29" t="str">
        <v>GTRC-ALERASATO74</v>
      </c>
      <c r="C97" s="12" t="str">
        <v/>
      </c>
      <c r="D97" s="12">
        <v>8</v>
      </c>
      <c r="E97" s="12" t="str">
        <v/>
      </c>
      <c r="F97" s="47">
        <v>8</v>
      </c>
      <c r="G97" s="20" t="str">
        <v/>
      </c>
      <c r="H97" s="20">
        <v>8</v>
      </c>
      <c r="I97" s="20" t="str">
        <v/>
      </c>
      <c r="J97" s="47">
        <v>8</v>
      </c>
      <c r="K97" s="20" t="str">
        <v/>
      </c>
      <c r="L97" s="20" t="str">
        <v/>
      </c>
      <c r="M97" s="20" t="str">
        <v/>
      </c>
      <c r="N97" s="47" t="str">
        <v/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16</v>
      </c>
    </row>
    <row r="98" spans="1:27" ht="17" x14ac:dyDescent="0.25">
      <c r="A98" s="28">
        <v>31</v>
      </c>
      <c r="B98" s="29" t="str">
        <v>GTRC_AMALA_ETNA</v>
      </c>
      <c r="C98" s="12" t="str">
        <v/>
      </c>
      <c r="D98" s="12">
        <v>10</v>
      </c>
      <c r="E98" s="12" t="str">
        <v/>
      </c>
      <c r="F98" s="47">
        <v>10</v>
      </c>
      <c r="G98" s="12" t="str">
        <v/>
      </c>
      <c r="H98" s="12">
        <v>6</v>
      </c>
      <c r="I98" s="12" t="str">
        <v/>
      </c>
      <c r="J98" s="47">
        <v>6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16</v>
      </c>
    </row>
    <row r="99" spans="1:27" ht="17" x14ac:dyDescent="0.25">
      <c r="A99" s="28">
        <v>32</v>
      </c>
      <c r="B99" s="29" t="str">
        <v>Liotru1979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 t="str">
        <v/>
      </c>
      <c r="M99" s="12" t="str">
        <v/>
      </c>
      <c r="N99" s="47" t="str">
        <v/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16</v>
      </c>
    </row>
    <row r="100" spans="1:27" ht="17" x14ac:dyDescent="0.25">
      <c r="A100" s="28">
        <v>33</v>
      </c>
      <c r="B100" s="29" t="str">
        <v>madonte</v>
      </c>
      <c r="C100" s="12" t="str">
        <v/>
      </c>
      <c r="D100" s="12">
        <v>10</v>
      </c>
      <c r="E100" s="12" t="str">
        <v/>
      </c>
      <c r="F100" s="47">
        <v>10</v>
      </c>
      <c r="G100" s="12" t="str">
        <v/>
      </c>
      <c r="H100" s="12">
        <v>6</v>
      </c>
      <c r="I100" s="12" t="str">
        <v/>
      </c>
      <c r="J100" s="47">
        <v>6</v>
      </c>
      <c r="K100" s="12" t="str">
        <v/>
      </c>
      <c r="L100" s="12" t="str">
        <v/>
      </c>
      <c r="M100" s="12" t="str">
        <v/>
      </c>
      <c r="N100" s="47" t="str">
        <v/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16</v>
      </c>
    </row>
    <row r="101" spans="1:27" ht="17" x14ac:dyDescent="0.25">
      <c r="A101" s="28">
        <v>34</v>
      </c>
      <c r="B101" s="29" t="str">
        <v>Silentium884</v>
      </c>
      <c r="C101" s="12" t="str">
        <v/>
      </c>
      <c r="D101" s="12">
        <v>16</v>
      </c>
      <c r="E101" s="12" t="str">
        <v/>
      </c>
      <c r="F101" s="47">
        <v>16</v>
      </c>
      <c r="G101" s="12" t="str">
        <v/>
      </c>
      <c r="H101" s="12" t="str">
        <v/>
      </c>
      <c r="I101" s="12" t="str">
        <v/>
      </c>
      <c r="J101" s="47" t="str">
        <v/>
      </c>
      <c r="K101" s="12" t="str">
        <v/>
      </c>
      <c r="L101" s="12" t="str">
        <v/>
      </c>
      <c r="M101" s="12" t="str">
        <v/>
      </c>
      <c r="N101" s="47" t="str">
        <v/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16</v>
      </c>
    </row>
    <row r="102" spans="1:27" ht="17" x14ac:dyDescent="0.25">
      <c r="A102" s="28">
        <v>35</v>
      </c>
      <c r="B102" s="29" t="str">
        <v>Dani_CT1946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8</v>
      </c>
      <c r="I102" s="12" t="str">
        <v/>
      </c>
      <c r="J102" s="47">
        <v>8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16</v>
      </c>
    </row>
    <row r="103" spans="1:27" ht="18" x14ac:dyDescent="0.25">
      <c r="A103" s="28">
        <v>36</v>
      </c>
      <c r="B103" s="58" t="str">
        <v>Stefanostefanof</v>
      </c>
      <c r="C103" s="12" t="str">
        <v/>
      </c>
      <c r="D103" s="12">
        <v>10</v>
      </c>
      <c r="E103" s="12" t="str">
        <v/>
      </c>
      <c r="F103" s="47">
        <v>10</v>
      </c>
      <c r="G103" s="12" t="str">
        <v/>
      </c>
      <c r="H103" s="12">
        <v>5</v>
      </c>
      <c r="I103" s="12" t="str">
        <v/>
      </c>
      <c r="J103" s="47">
        <v>5</v>
      </c>
      <c r="K103" s="12" t="str">
        <v/>
      </c>
      <c r="L103" s="12" t="str">
        <v/>
      </c>
      <c r="M103" s="12" t="str">
        <v/>
      </c>
      <c r="N103" s="47" t="str">
        <v/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15</v>
      </c>
    </row>
    <row r="104" spans="1:27" ht="17" x14ac:dyDescent="0.25">
      <c r="A104" s="28">
        <v>37</v>
      </c>
      <c r="B104" s="29" t="str">
        <v>DCT-bazzo</v>
      </c>
      <c r="C104" s="12" t="str">
        <v/>
      </c>
      <c r="D104" s="12">
        <v>14</v>
      </c>
      <c r="E104" s="12" t="str">
        <v/>
      </c>
      <c r="F104" s="47">
        <v>14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14</v>
      </c>
    </row>
    <row r="105" spans="1:27" ht="17" x14ac:dyDescent="0.25">
      <c r="A105" s="28">
        <v>38</v>
      </c>
      <c r="B105" s="29" t="str">
        <v>Talsigiano</v>
      </c>
      <c r="C105" s="12" t="str">
        <v/>
      </c>
      <c r="D105" s="12">
        <v>5</v>
      </c>
      <c r="E105" s="12" t="str">
        <v/>
      </c>
      <c r="F105" s="47">
        <v>5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13</v>
      </c>
    </row>
    <row r="106" spans="1:27" ht="17" x14ac:dyDescent="0.25">
      <c r="A106" s="28">
        <v>39</v>
      </c>
      <c r="B106" s="29" t="str">
        <v>Blokkobubbles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 t="str">
        <v/>
      </c>
      <c r="M106" s="12" t="str">
        <v/>
      </c>
      <c r="N106" s="47" t="str">
        <v/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11</v>
      </c>
    </row>
    <row r="107" spans="1:27" ht="17" x14ac:dyDescent="0.25">
      <c r="A107" s="28">
        <v>40</v>
      </c>
      <c r="B107" s="29" t="str">
        <v>Cjcerbola</v>
      </c>
      <c r="C107" s="43" t="str">
        <v/>
      </c>
      <c r="D107" s="43">
        <v>6</v>
      </c>
      <c r="E107" s="43" t="str">
        <v/>
      </c>
      <c r="F107" s="48">
        <v>6</v>
      </c>
      <c r="G107" s="43" t="str">
        <v/>
      </c>
      <c r="H107" s="43">
        <v>5</v>
      </c>
      <c r="I107" s="43" t="str">
        <v/>
      </c>
      <c r="J107" s="48">
        <v>5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11</v>
      </c>
    </row>
    <row r="108" spans="1:27" ht="17" x14ac:dyDescent="0.25">
      <c r="A108" s="28">
        <v>41</v>
      </c>
      <c r="B108" s="30" t="str">
        <v>TeoDaniricky2000</v>
      </c>
      <c r="C108" s="20" t="str">
        <v/>
      </c>
      <c r="D108" s="20">
        <v>4</v>
      </c>
      <c r="E108" s="20" t="str">
        <v/>
      </c>
      <c r="F108" s="47">
        <v>4</v>
      </c>
      <c r="G108" s="12" t="str">
        <v/>
      </c>
      <c r="H108" s="12">
        <v>6</v>
      </c>
      <c r="I108" s="12" t="str">
        <v/>
      </c>
      <c r="J108" s="47">
        <v>6</v>
      </c>
      <c r="K108" s="12" t="str">
        <v/>
      </c>
      <c r="L108" s="12" t="str">
        <v/>
      </c>
      <c r="M108" s="12" t="str">
        <v/>
      </c>
      <c r="N108" s="47" t="str">
        <v/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10</v>
      </c>
    </row>
    <row r="109" spans="1:27" ht="17" x14ac:dyDescent="0.25">
      <c r="A109" s="28">
        <v>42</v>
      </c>
      <c r="B109" s="29" t="str">
        <v>Dimaaa66</v>
      </c>
      <c r="C109" s="12" t="str">
        <v/>
      </c>
      <c r="D109" s="12">
        <v>6</v>
      </c>
      <c r="E109" s="12" t="str">
        <v/>
      </c>
      <c r="F109" s="47">
        <v>6</v>
      </c>
      <c r="G109" s="12" t="str">
        <v/>
      </c>
      <c r="H109" s="12">
        <v>4</v>
      </c>
      <c r="I109" s="12" t="str">
        <v/>
      </c>
      <c r="J109" s="47">
        <v>4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10</v>
      </c>
    </row>
    <row r="110" spans="1:27" ht="17" x14ac:dyDescent="0.25">
      <c r="A110" s="28">
        <v>43</v>
      </c>
      <c r="B110" s="29" t="str">
        <v>Assemazz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>
        <v>4</v>
      </c>
      <c r="I110" s="12" t="str">
        <v/>
      </c>
      <c r="J110" s="47">
        <v>4</v>
      </c>
      <c r="K110" s="12" t="str">
        <v/>
      </c>
      <c r="L110" s="12" t="str">
        <v/>
      </c>
      <c r="M110" s="12" t="str">
        <v/>
      </c>
      <c r="N110" s="47" t="str">
        <v/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9</v>
      </c>
    </row>
    <row r="111" spans="1:27" ht="17" x14ac:dyDescent="0.25">
      <c r="A111" s="28">
        <v>44</v>
      </c>
      <c r="B111" s="29" t="str">
        <v>recidivo92</v>
      </c>
      <c r="C111" s="20" t="str">
        <v/>
      </c>
      <c r="D111" s="20">
        <v>3</v>
      </c>
      <c r="E111" s="20" t="str">
        <v/>
      </c>
      <c r="F111" s="47">
        <v>3</v>
      </c>
      <c r="G111" s="12" t="str">
        <v/>
      </c>
      <c r="H111" s="12">
        <v>6</v>
      </c>
      <c r="I111" s="12" t="str">
        <v/>
      </c>
      <c r="J111" s="47">
        <v>6</v>
      </c>
      <c r="K111" s="20" t="str">
        <v/>
      </c>
      <c r="L111" s="20" t="str">
        <v/>
      </c>
      <c r="M111" s="20" t="str">
        <v/>
      </c>
      <c r="N111" s="47" t="str">
        <v/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9</v>
      </c>
    </row>
    <row r="112" spans="1:27" ht="17" x14ac:dyDescent="0.25">
      <c r="A112" s="28">
        <v>45</v>
      </c>
      <c r="B112" s="29" t="str">
        <v>jack-187-jack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 t="str">
        <v/>
      </c>
      <c r="M112" s="20" t="str">
        <v/>
      </c>
      <c r="N112" s="47" t="str">
        <v/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8</v>
      </c>
    </row>
    <row r="113" spans="1:27" ht="17" x14ac:dyDescent="0.25">
      <c r="A113" s="28">
        <v>46</v>
      </c>
      <c r="B113" s="29" t="str">
        <v>mirkozaffaron296</v>
      </c>
      <c r="C113" s="20" t="str">
        <v/>
      </c>
      <c r="D113" s="20">
        <v>4</v>
      </c>
      <c r="E113" s="20" t="str">
        <v/>
      </c>
      <c r="F113" s="47">
        <v>4</v>
      </c>
      <c r="G113" s="20" t="str">
        <v/>
      </c>
      <c r="H113" s="20">
        <v>4</v>
      </c>
      <c r="I113" s="20" t="str">
        <v/>
      </c>
      <c r="J113" s="47">
        <v>4</v>
      </c>
      <c r="K113" s="20" t="str">
        <v/>
      </c>
      <c r="L113" s="20" t="str">
        <v/>
      </c>
      <c r="M113" s="20" t="str">
        <v/>
      </c>
      <c r="N113" s="47" t="str">
        <v/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8</v>
      </c>
    </row>
    <row r="114" spans="1:27" ht="17" x14ac:dyDescent="0.25">
      <c r="A114" s="28">
        <v>47</v>
      </c>
      <c r="B114" s="29" t="str">
        <v>mettiukc</v>
      </c>
      <c r="C114" s="12" t="str">
        <v/>
      </c>
      <c r="D114" s="12">
        <v>5</v>
      </c>
      <c r="E114" s="12" t="str">
        <v/>
      </c>
      <c r="F114" s="47">
        <v>5</v>
      </c>
      <c r="G114" s="20" t="str">
        <v/>
      </c>
      <c r="H114" s="20">
        <v>3</v>
      </c>
      <c r="I114" s="20" t="str">
        <v/>
      </c>
      <c r="J114" s="47">
        <v>3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8</v>
      </c>
    </row>
    <row r="115" spans="1:27" ht="17" x14ac:dyDescent="0.25">
      <c r="A115" s="28">
        <v>48</v>
      </c>
      <c r="B115" s="30" t="str">
        <v>Rikas78</v>
      </c>
      <c r="C115" s="12" t="str">
        <v/>
      </c>
      <c r="D115" s="12">
        <v>2</v>
      </c>
      <c r="E115" s="12" t="str">
        <v/>
      </c>
      <c r="F115" s="47">
        <v>2</v>
      </c>
      <c r="G115" s="12" t="str">
        <v/>
      </c>
      <c r="H115" s="12">
        <v>5</v>
      </c>
      <c r="I115" s="12" t="str">
        <v/>
      </c>
      <c r="J115" s="47">
        <v>5</v>
      </c>
      <c r="K115" s="12" t="str">
        <v/>
      </c>
      <c r="L115" s="12" t="str">
        <v/>
      </c>
      <c r="M115" s="12" t="str">
        <v/>
      </c>
      <c r="N115" s="47" t="str">
        <v/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7</v>
      </c>
    </row>
    <row r="116" spans="1:27" ht="17" x14ac:dyDescent="0.25">
      <c r="A116" s="28">
        <v>49</v>
      </c>
      <c r="B116" s="29" t="str">
        <v>Costanzo-Mirko90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2</v>
      </c>
      <c r="I116" s="12" t="str">
        <v/>
      </c>
      <c r="J116" s="47">
        <v>2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6</v>
      </c>
    </row>
    <row r="117" spans="1:27" ht="17" x14ac:dyDescent="0.25">
      <c r="A117" s="28">
        <v>50</v>
      </c>
      <c r="B117" s="29" t="str">
        <v>Mancinelli2002</v>
      </c>
      <c r="C117" s="12" t="str">
        <v/>
      </c>
      <c r="D117" s="12">
        <v>2</v>
      </c>
      <c r="E117" s="12" t="str">
        <v/>
      </c>
      <c r="F117" s="47">
        <v>2</v>
      </c>
      <c r="G117" s="12" t="str">
        <v/>
      </c>
      <c r="H117" s="12">
        <v>3</v>
      </c>
      <c r="I117" s="12" t="str">
        <v/>
      </c>
      <c r="J117" s="47">
        <v>3</v>
      </c>
      <c r="K117" s="12" t="str">
        <v/>
      </c>
      <c r="L117" s="12" t="str">
        <v/>
      </c>
      <c r="M117" s="12" t="str">
        <v/>
      </c>
      <c r="N117" s="47" t="str">
        <v/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5</v>
      </c>
    </row>
    <row r="118" spans="1:27" ht="17" x14ac:dyDescent="0.25">
      <c r="A118" s="28">
        <v>51</v>
      </c>
      <c r="B118" s="29" t="str">
        <v>TLM_Verce90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>
        <v>2</v>
      </c>
      <c r="I118" s="12" t="str">
        <v/>
      </c>
      <c r="J118" s="47">
        <v>2</v>
      </c>
      <c r="K118" s="12" t="str">
        <v/>
      </c>
      <c r="L118" s="12" t="str">
        <v/>
      </c>
      <c r="M118" s="12" t="str">
        <v/>
      </c>
      <c r="N118" s="47" t="str">
        <v/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5</v>
      </c>
    </row>
    <row r="119" spans="1:27" ht="17" x14ac:dyDescent="0.25">
      <c r="A119" s="28">
        <v>52</v>
      </c>
      <c r="B119" s="29" t="str">
        <v>TLM_CaLiGoLa</v>
      </c>
      <c r="C119" s="12" t="str">
        <v/>
      </c>
      <c r="D119" s="12">
        <v>5</v>
      </c>
      <c r="E119" s="12" t="str">
        <v/>
      </c>
      <c r="F119" s="47">
        <v>5</v>
      </c>
      <c r="G119" s="12" t="str">
        <v/>
      </c>
      <c r="H119" s="12" t="str">
        <v/>
      </c>
      <c r="I119" s="12" t="str">
        <v/>
      </c>
      <c r="J119" s="47" t="str">
        <v/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5</v>
      </c>
    </row>
    <row r="120" spans="1:27" ht="17" x14ac:dyDescent="0.25">
      <c r="A120" s="28">
        <v>53</v>
      </c>
      <c r="B120" s="29" t="str">
        <v>Isnotacrime</v>
      </c>
      <c r="C120" s="33" t="str">
        <v/>
      </c>
      <c r="D120" s="33">
        <v>3</v>
      </c>
      <c r="E120" s="33" t="str">
        <v/>
      </c>
      <c r="F120" s="51">
        <v>3</v>
      </c>
      <c r="G120" s="33" t="str">
        <v/>
      </c>
      <c r="H120" s="33" t="str">
        <v/>
      </c>
      <c r="I120" s="33" t="str">
        <v/>
      </c>
      <c r="J120" s="51" t="str">
        <v/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3</v>
      </c>
    </row>
    <row r="121" spans="1:27" ht="17" x14ac:dyDescent="0.25">
      <c r="A121" s="28">
        <v>54</v>
      </c>
      <c r="B121" s="29" t="str">
        <v>Monster_Nova_RS</v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abSelected="1" topLeftCell="A25" zoomScale="50" workbookViewId="0">
      <selection activeCell="AH54" sqref="AH54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5" t="s">
        <v>379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</row>
    <row r="2" spans="1:29" ht="19" x14ac:dyDescent="0.25">
      <c r="A2" s="126" t="s">
        <v>414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</row>
    <row r="3" spans="1:29" ht="22" customHeight="1" x14ac:dyDescent="0.2">
      <c r="A3" s="92" t="s">
        <v>19</v>
      </c>
      <c r="B3" s="92" t="s">
        <v>14</v>
      </c>
      <c r="C3" s="106" t="s">
        <v>380</v>
      </c>
      <c r="D3" s="106" t="s">
        <v>15</v>
      </c>
      <c r="E3" s="95" t="s">
        <v>46</v>
      </c>
      <c r="F3" s="96"/>
      <c r="G3" s="96"/>
      <c r="H3" s="97"/>
      <c r="I3" s="95" t="s">
        <v>40</v>
      </c>
      <c r="J3" s="96"/>
      <c r="K3" s="96"/>
      <c r="L3" s="97"/>
      <c r="M3" s="95" t="s">
        <v>47</v>
      </c>
      <c r="N3" s="96"/>
      <c r="O3" s="96"/>
      <c r="P3" s="97"/>
      <c r="Q3" s="95" t="s">
        <v>39</v>
      </c>
      <c r="R3" s="96"/>
      <c r="S3" s="96"/>
      <c r="T3" s="97"/>
      <c r="U3" s="95" t="s">
        <v>41</v>
      </c>
      <c r="V3" s="96"/>
      <c r="W3" s="96"/>
      <c r="X3" s="97"/>
      <c r="Y3" s="95" t="s">
        <v>48</v>
      </c>
      <c r="Z3" s="96"/>
      <c r="AA3" s="96"/>
      <c r="AB3" s="97"/>
      <c r="AC3" s="98" t="s">
        <v>34</v>
      </c>
    </row>
    <row r="4" spans="1:29" ht="27" x14ac:dyDescent="0.2">
      <c r="A4" s="92"/>
      <c r="B4" s="92"/>
      <c r="C4" s="107"/>
      <c r="D4" s="107"/>
      <c r="E4" s="21" t="s">
        <v>17</v>
      </c>
      <c r="F4" s="22" t="s">
        <v>1</v>
      </c>
      <c r="G4" s="23" t="s">
        <v>18</v>
      </c>
      <c r="H4" s="50" t="s">
        <v>35</v>
      </c>
      <c r="I4" s="21" t="s">
        <v>17</v>
      </c>
      <c r="J4" s="22" t="s">
        <v>1</v>
      </c>
      <c r="K4" s="23" t="s">
        <v>18</v>
      </c>
      <c r="L4" s="50" t="s">
        <v>35</v>
      </c>
      <c r="M4" s="21" t="s">
        <v>17</v>
      </c>
      <c r="N4" s="22" t="s">
        <v>1</v>
      </c>
      <c r="O4" s="23" t="s">
        <v>18</v>
      </c>
      <c r="P4" s="50" t="s">
        <v>35</v>
      </c>
      <c r="Q4" s="21" t="s">
        <v>17</v>
      </c>
      <c r="R4" s="22" t="s">
        <v>1</v>
      </c>
      <c r="S4" s="23" t="s">
        <v>18</v>
      </c>
      <c r="T4" s="50" t="s">
        <v>35</v>
      </c>
      <c r="U4" s="21" t="s">
        <v>17</v>
      </c>
      <c r="V4" s="22" t="s">
        <v>1</v>
      </c>
      <c r="W4" s="23" t="s">
        <v>18</v>
      </c>
      <c r="X4" s="50" t="s">
        <v>35</v>
      </c>
      <c r="Y4" s="21" t="s">
        <v>17</v>
      </c>
      <c r="Z4" s="22" t="s">
        <v>1</v>
      </c>
      <c r="AA4" s="23" t="s">
        <v>18</v>
      </c>
      <c r="AB4" s="50" t="s">
        <v>35</v>
      </c>
      <c r="AC4" s="98"/>
    </row>
    <row r="5" spans="1:29" ht="20" customHeight="1" x14ac:dyDescent="0.2">
      <c r="A5" s="88" t="s">
        <v>30</v>
      </c>
      <c r="B5" s="89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128" t="s">
        <v>2</v>
      </c>
      <c r="B6" s="127" t="str">
        <f>'CLASSIFICA ORDINATA'!B5</f>
        <v>RMT-87-TOMMY</v>
      </c>
      <c r="C6" s="127" t="str">
        <f>VLOOKUP(B6,nomi!B:C,2,FALSE)</f>
        <v>RMT-87-TOMMY</v>
      </c>
      <c r="D6" s="127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139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139">
        <f>'CLASSIFICA ORDINATA'!J5</f>
        <v>27</v>
      </c>
      <c r="M6" s="12" t="str">
        <f>'CLASSIFICA ORDINATA'!K5</f>
        <v/>
      </c>
      <c r="N6" s="12" t="str">
        <f>'CLASSIFICA ORDINATA'!L5</f>
        <v/>
      </c>
      <c r="O6" s="12" t="str">
        <f>'CLASSIFICA ORDINATA'!M5</f>
        <v/>
      </c>
      <c r="P6" s="139" t="str">
        <f>'CLASSIFICA ORDINATA'!N5</f>
        <v/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139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139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139" t="str">
        <f>'CLASSIFICA ORDINATA'!Z5</f>
        <v/>
      </c>
      <c r="AC6" s="140">
        <f>'CLASSIFICA ORDINATA'!AA5</f>
        <v>54</v>
      </c>
    </row>
    <row r="7" spans="1:29" ht="20" customHeight="1" x14ac:dyDescent="0.2">
      <c r="A7" s="129" t="s">
        <v>3</v>
      </c>
      <c r="B7" s="127" t="str">
        <f>'CLASSIFICA ORDINATA'!B6</f>
        <v>Marco-super-gt</v>
      </c>
      <c r="C7" s="127" t="str">
        <f>VLOOKUP(B7,nomi!B:C,2,FALSE)</f>
        <v>M.Pirrello</v>
      </c>
      <c r="D7" s="127" t="str">
        <f>VLOOKUP(B7,nomi!B:G,6,FALSE)</f>
        <v>GTID</v>
      </c>
      <c r="E7" s="12" t="str">
        <f>'CLASSIFICA ORDINATA'!C6</f>
        <v/>
      </c>
      <c r="F7" s="12">
        <f>'CLASSIFICA ORDINATA'!D6</f>
        <v>18</v>
      </c>
      <c r="G7" s="12" t="str">
        <f>'CLASSIFICA ORDINATA'!E6</f>
        <v/>
      </c>
      <c r="H7" s="139">
        <f>'CLASSIFICA ORDINATA'!F6</f>
        <v>18</v>
      </c>
      <c r="I7" s="12" t="str">
        <f>'CLASSIFICA ORDINATA'!G6</f>
        <v/>
      </c>
      <c r="J7" s="12">
        <f>'CLASSIFICA ORDINATA'!H6</f>
        <v>14</v>
      </c>
      <c r="K7" s="12" t="str">
        <f>'CLASSIFICA ORDINATA'!I6</f>
        <v/>
      </c>
      <c r="L7" s="139">
        <f>'CLASSIFICA ORDINATA'!J6</f>
        <v>14</v>
      </c>
      <c r="M7" s="12" t="str">
        <f>'CLASSIFICA ORDINATA'!K6</f>
        <v/>
      </c>
      <c r="N7" s="12" t="str">
        <f>'CLASSIFICA ORDINATA'!L6</f>
        <v/>
      </c>
      <c r="O7" s="12" t="str">
        <f>'CLASSIFICA ORDINATA'!M6</f>
        <v/>
      </c>
      <c r="P7" s="139" t="str">
        <f>'CLASSIFICA ORDINATA'!N6</f>
        <v/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139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139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139" t="str">
        <f>'CLASSIFICA ORDINATA'!Z6</f>
        <v/>
      </c>
      <c r="AC7" s="140">
        <f>'CLASSIFICA ORDINATA'!AA6</f>
        <v>32</v>
      </c>
    </row>
    <row r="8" spans="1:29" ht="20" customHeight="1" x14ac:dyDescent="0.2">
      <c r="A8" s="130" t="s">
        <v>4</v>
      </c>
      <c r="B8" s="127" t="str">
        <f>'CLASSIFICA ORDINATA'!B7</f>
        <v>TLM_Kappa</v>
      </c>
      <c r="C8" s="127" t="str">
        <f>VLOOKUP(B8,nomi!B:C,2,FALSE)</f>
        <v>TLM_Kappa</v>
      </c>
      <c r="D8" s="127" t="str">
        <f>VLOOKUP(B8,nomi!B:G,6,FALSE)</f>
        <v>TLM</v>
      </c>
      <c r="E8" s="12" t="str">
        <f>'CLASSIFICA ORDINATA'!C7</f>
        <v/>
      </c>
      <c r="F8" s="12">
        <f>'CLASSIFICA ORDINATA'!D7</f>
        <v>20</v>
      </c>
      <c r="G8" s="12" t="str">
        <f>'CLASSIFICA ORDINATA'!E7</f>
        <v/>
      </c>
      <c r="H8" s="139">
        <f>'CLASSIFICA ORDINATA'!F7</f>
        <v>20</v>
      </c>
      <c r="I8" s="12" t="str">
        <f>'CLASSIFICA ORDINATA'!G7</f>
        <v/>
      </c>
      <c r="J8" s="12">
        <f>'CLASSIFICA ORDINATA'!H7</f>
        <v>10</v>
      </c>
      <c r="K8" s="12" t="str">
        <f>'CLASSIFICA ORDINATA'!I7</f>
        <v/>
      </c>
      <c r="L8" s="139">
        <f>'CLASSIFICA ORDINATA'!J7</f>
        <v>10</v>
      </c>
      <c r="M8" s="12" t="str">
        <f>'CLASSIFICA ORDINATA'!K7</f>
        <v/>
      </c>
      <c r="N8" s="12" t="str">
        <f>'CLASSIFICA ORDINATA'!L7</f>
        <v/>
      </c>
      <c r="O8" s="12" t="str">
        <f>'CLASSIFICA ORDINATA'!M7</f>
        <v/>
      </c>
      <c r="P8" s="139" t="str">
        <f>'CLASSIFICA ORDINATA'!N7</f>
        <v/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139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139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139" t="str">
        <f>'CLASSIFICA ORDINATA'!Z7</f>
        <v/>
      </c>
      <c r="AC8" s="140">
        <f>'CLASSIFICA ORDINATA'!AA7</f>
        <v>30</v>
      </c>
    </row>
    <row r="9" spans="1:29" ht="20" customHeight="1" x14ac:dyDescent="0.2">
      <c r="A9" s="131" t="s">
        <v>5</v>
      </c>
      <c r="B9" s="127" t="str">
        <f>'CLASSIFICA ORDINATA'!B8</f>
        <v>xRUA85x</v>
      </c>
      <c r="C9" s="127" t="str">
        <f>VLOOKUP(B9,nomi!B:C,2,FALSE)</f>
        <v>TLM_Le Rua’</v>
      </c>
      <c r="D9" s="127" t="str">
        <f>VLOOKUP(B9,nomi!B:G,6,FALSE)</f>
        <v>TLM</v>
      </c>
      <c r="E9" s="12" t="str">
        <f>'CLASSIFICA ORDINATA'!C8</f>
        <v/>
      </c>
      <c r="F9" s="12">
        <f>'CLASSIFICA ORDINATA'!D8</f>
        <v>12</v>
      </c>
      <c r="G9" s="12" t="str">
        <f>'CLASSIFICA ORDINATA'!E8</f>
        <v/>
      </c>
      <c r="H9" s="139">
        <f>'CLASSIFICA ORDINATA'!F8</f>
        <v>12</v>
      </c>
      <c r="I9" s="12" t="str">
        <f>'CLASSIFICA ORDINATA'!G8</f>
        <v/>
      </c>
      <c r="J9" s="12">
        <f>'CLASSIFICA ORDINATA'!H8</f>
        <v>16</v>
      </c>
      <c r="K9" s="12" t="str">
        <f>'CLASSIFICA ORDINATA'!I8</f>
        <v/>
      </c>
      <c r="L9" s="139">
        <f>'CLASSIFICA ORDINATA'!J8</f>
        <v>16</v>
      </c>
      <c r="M9" s="12" t="str">
        <f>'CLASSIFICA ORDINATA'!K8</f>
        <v/>
      </c>
      <c r="N9" s="12" t="str">
        <f>'CLASSIFICA ORDINATA'!L8</f>
        <v/>
      </c>
      <c r="O9" s="12" t="str">
        <f>'CLASSIFICA ORDINATA'!M8</f>
        <v/>
      </c>
      <c r="P9" s="139" t="str">
        <f>'CLASSIFICA ORDINATA'!N8</f>
        <v/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139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139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139" t="str">
        <f>'CLASSIFICA ORDINATA'!Z8</f>
        <v/>
      </c>
      <c r="AC9" s="140">
        <f>'CLASSIFICA ORDINATA'!AA8</f>
        <v>28</v>
      </c>
    </row>
    <row r="10" spans="1:29" ht="20" customHeight="1" x14ac:dyDescent="0.2">
      <c r="A10" s="131" t="s">
        <v>6</v>
      </c>
      <c r="B10" s="127" t="str">
        <f>'CLASSIFICA ORDINATA'!B9</f>
        <v>Rupetheking</v>
      </c>
      <c r="C10" s="127" t="str">
        <f>VLOOKUP(B10,nomi!B:C,2,FALSE)</f>
        <v xml:space="preserve">Tlm-rupetheking </v>
      </c>
      <c r="D10" s="127" t="str">
        <f>VLOOKUP(B10,nomi!B:G,6,FALSE)</f>
        <v>TLM</v>
      </c>
      <c r="E10" s="12" t="str">
        <f>'CLASSIFICA ORDINATA'!C9</f>
        <v/>
      </c>
      <c r="F10" s="12">
        <f>'CLASSIFICA ORDINATA'!D9</f>
        <v>3</v>
      </c>
      <c r="G10" s="12" t="str">
        <f>'CLASSIFICA ORDINATA'!E9</f>
        <v/>
      </c>
      <c r="H10" s="139">
        <f>'CLASSIFICA ORDINATA'!F9</f>
        <v>3</v>
      </c>
      <c r="I10" s="12" t="str">
        <f>'CLASSIFICA ORDINATA'!G9</f>
        <v/>
      </c>
      <c r="J10" s="12">
        <f>'CLASSIFICA ORDINATA'!H9</f>
        <v>20</v>
      </c>
      <c r="K10" s="12" t="str">
        <f>'CLASSIFICA ORDINATA'!I9</f>
        <v/>
      </c>
      <c r="L10" s="139">
        <f>'CLASSIFICA ORDINATA'!J9</f>
        <v>20</v>
      </c>
      <c r="M10" s="12" t="str">
        <f>'CLASSIFICA ORDINATA'!K9</f>
        <v/>
      </c>
      <c r="N10" s="12" t="str">
        <f>'CLASSIFICA ORDINATA'!L9</f>
        <v/>
      </c>
      <c r="O10" s="12" t="str">
        <f>'CLASSIFICA ORDINATA'!M9</f>
        <v/>
      </c>
      <c r="P10" s="139" t="str">
        <f>'CLASSIFICA ORDINATA'!N9</f>
        <v/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139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139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139" t="str">
        <f>'CLASSIFICA ORDINATA'!Z9</f>
        <v/>
      </c>
      <c r="AC10" s="140">
        <f>'CLASSIFICA ORDINATA'!AA9</f>
        <v>23</v>
      </c>
    </row>
    <row r="11" spans="1:29" ht="20" customHeight="1" x14ac:dyDescent="0.2">
      <c r="A11" s="131" t="s">
        <v>7</v>
      </c>
      <c r="B11" s="127" t="str">
        <f>'CLASSIFICA ORDINATA'!B10</f>
        <v>TLM_Sicily22</v>
      </c>
      <c r="C11" s="127" t="str">
        <f>VLOOKUP(B11,nomi!B:C,2,FALSE)</f>
        <v>M.Di Bartolo</v>
      </c>
      <c r="D11" s="127" t="str">
        <f>VLOOKUP(B11,nomi!B:G,6,FALSE)</f>
        <v>TLM</v>
      </c>
      <c r="E11" s="12" t="str">
        <f>'CLASSIFICA ORDINATA'!C10</f>
        <v/>
      </c>
      <c r="F11" s="12" t="str">
        <f>'CLASSIFICA ORDINATA'!D10</f>
        <v/>
      </c>
      <c r="G11" s="12" t="str">
        <f>'CLASSIFICA ORDINATA'!E10</f>
        <v/>
      </c>
      <c r="H11" s="139" t="str">
        <f>'CLASSIFICA ORDINATA'!F10</f>
        <v/>
      </c>
      <c r="I11" s="12" t="str">
        <f>'CLASSIFICA ORDINATA'!G10</f>
        <v/>
      </c>
      <c r="J11" s="12">
        <f>'CLASSIFICA ORDINATA'!H10</f>
        <v>18</v>
      </c>
      <c r="K11" s="12" t="str">
        <f>'CLASSIFICA ORDINATA'!I10</f>
        <v/>
      </c>
      <c r="L11" s="139">
        <f>'CLASSIFICA ORDINATA'!J10</f>
        <v>18</v>
      </c>
      <c r="M11" s="12" t="str">
        <f>'CLASSIFICA ORDINATA'!K10</f>
        <v/>
      </c>
      <c r="N11" s="12" t="str">
        <f>'CLASSIFICA ORDINATA'!L10</f>
        <v/>
      </c>
      <c r="O11" s="12" t="str">
        <f>'CLASSIFICA ORDINATA'!M10</f>
        <v/>
      </c>
      <c r="P11" s="139" t="str">
        <f>'CLASSIFICA ORDINATA'!N10</f>
        <v/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139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139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139" t="str">
        <f>'CLASSIFICA ORDINATA'!Z10</f>
        <v/>
      </c>
      <c r="AC11" s="140">
        <f>'CLASSIFICA ORDINATA'!AA10</f>
        <v>18</v>
      </c>
    </row>
    <row r="12" spans="1:29" ht="20" customHeight="1" x14ac:dyDescent="0.2">
      <c r="A12" s="131" t="s">
        <v>8</v>
      </c>
      <c r="B12" s="127" t="str">
        <f>'CLASSIFICA ORDINATA'!B11</f>
        <v>TLM_michaelfox12</v>
      </c>
      <c r="C12" s="127" t="str">
        <f>VLOOKUP(B12,nomi!B:C,2,FALSE)</f>
        <v>TLM_michaelfox12</v>
      </c>
      <c r="D12" s="127" t="str">
        <f>VLOOKUP(B12,nomi!B:G,6,FALSE)</f>
        <v>TLM</v>
      </c>
      <c r="E12" s="12" t="str">
        <f>'CLASSIFICA ORDINATA'!C11</f>
        <v/>
      </c>
      <c r="F12" s="12">
        <f>'CLASSIFICA ORDINATA'!D11</f>
        <v>6</v>
      </c>
      <c r="G12" s="12" t="str">
        <f>'CLASSIFICA ORDINATA'!E11</f>
        <v/>
      </c>
      <c r="H12" s="139">
        <f>'CLASSIFICA ORDINATA'!F11</f>
        <v>6</v>
      </c>
      <c r="I12" s="12" t="str">
        <f>'CLASSIFICA ORDINATA'!G11</f>
        <v/>
      </c>
      <c r="J12" s="12">
        <f>'CLASSIFICA ORDINATA'!H11</f>
        <v>12</v>
      </c>
      <c r="K12" s="12" t="str">
        <f>'CLASSIFICA ORDINATA'!I11</f>
        <v/>
      </c>
      <c r="L12" s="139">
        <f>'CLASSIFICA ORDINATA'!J11</f>
        <v>12</v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139" t="str">
        <f>'CLASSIFICA ORDINATA'!N11</f>
        <v/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139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139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139" t="str">
        <f>'CLASSIFICA ORDINATA'!Z11</f>
        <v/>
      </c>
      <c r="AC12" s="140">
        <f>'CLASSIFICA ORDINATA'!AA11</f>
        <v>18</v>
      </c>
    </row>
    <row r="13" spans="1:29" ht="20" customHeight="1" x14ac:dyDescent="0.2">
      <c r="A13" s="131" t="s">
        <v>9</v>
      </c>
      <c r="B13" s="127" t="str">
        <f>'CLASSIFICA ORDINATA'!B12</f>
        <v>Selpa974</v>
      </c>
      <c r="C13" s="127" t="str">
        <f>VLOOKUP(B13,nomi!B:C,2,FALSE)</f>
        <v>TLM_Selpa974_#88</v>
      </c>
      <c r="D13" s="127" t="str">
        <f>VLOOKUP(B13,nomi!B:G,6,FALSE)</f>
        <v>TLM</v>
      </c>
      <c r="E13" s="12" t="str">
        <f>'CLASSIFICA ORDINATA'!C12</f>
        <v/>
      </c>
      <c r="F13" s="12">
        <f>'CLASSIFICA ORDINATA'!D12</f>
        <v>16</v>
      </c>
      <c r="G13" s="12" t="str">
        <f>'CLASSIFICA ORDINATA'!E12</f>
        <v/>
      </c>
      <c r="H13" s="139">
        <f>'CLASSIFICA ORDINATA'!F12</f>
        <v>16</v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139" t="str">
        <f>'CLASSIFICA ORDINATA'!J12</f>
        <v/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139" t="str">
        <f>'CLASSIFICA ORDINATA'!N12</f>
        <v/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139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139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139" t="str">
        <f>'CLASSIFICA ORDINATA'!Z12</f>
        <v/>
      </c>
      <c r="AC13" s="140">
        <f>'CLASSIFICA ORDINATA'!AA12</f>
        <v>16</v>
      </c>
    </row>
    <row r="14" spans="1:29" ht="20" customHeight="1" x14ac:dyDescent="0.2">
      <c r="A14" s="131" t="s">
        <v>10</v>
      </c>
      <c r="B14" s="127" t="str">
        <f>'CLASSIFICA ORDINATA'!B13</f>
        <v>GTRC-ALERASATO74</v>
      </c>
      <c r="C14" s="127" t="str">
        <f>VLOOKUP(B14,nomi!B:C,2,FALSE)</f>
        <v xml:space="preserve">Gtrc_AleRasato </v>
      </c>
      <c r="D14" s="127" t="str">
        <f>VLOOKUP(B14,nomi!B:G,6,FALSE)</f>
        <v>GTRC</v>
      </c>
      <c r="E14" s="12" t="str">
        <f>'CLASSIFICA ORDINATA'!C13</f>
        <v/>
      </c>
      <c r="F14" s="12">
        <f>'CLASSIFICA ORDINATA'!D13</f>
        <v>8</v>
      </c>
      <c r="G14" s="12" t="str">
        <f>'CLASSIFICA ORDINATA'!E13</f>
        <v/>
      </c>
      <c r="H14" s="139">
        <f>'CLASSIFICA ORDINATA'!F13</f>
        <v>8</v>
      </c>
      <c r="I14" s="12" t="str">
        <f>'CLASSIFICA ORDINATA'!G13</f>
        <v/>
      </c>
      <c r="J14" s="12">
        <f>'CLASSIFICA ORDINATA'!H13</f>
        <v>8</v>
      </c>
      <c r="K14" s="12" t="str">
        <f>'CLASSIFICA ORDINATA'!I13</f>
        <v/>
      </c>
      <c r="L14" s="139">
        <f>'CLASSIFICA ORDINATA'!J13</f>
        <v>8</v>
      </c>
      <c r="M14" s="12" t="str">
        <f>'CLASSIFICA ORDINATA'!K13</f>
        <v/>
      </c>
      <c r="N14" s="12" t="str">
        <f>'CLASSIFICA ORDINATA'!L13</f>
        <v/>
      </c>
      <c r="O14" s="12" t="str">
        <f>'CLASSIFICA ORDINATA'!M13</f>
        <v/>
      </c>
      <c r="P14" s="139" t="str">
        <f>'CLASSIFICA ORDINATA'!N13</f>
        <v/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139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139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139" t="str">
        <f>'CLASSIFICA ORDINATA'!Z13</f>
        <v/>
      </c>
      <c r="AC14" s="140">
        <f>'CLASSIFICA ORDINATA'!AA13</f>
        <v>16</v>
      </c>
    </row>
    <row r="15" spans="1:29" ht="20" customHeight="1" x14ac:dyDescent="0.2">
      <c r="A15" s="131" t="s">
        <v>11</v>
      </c>
      <c r="B15" s="127" t="str">
        <f>'CLASSIFICA ORDINATA'!B14</f>
        <v>Stefanostefanof</v>
      </c>
      <c r="C15" s="127" t="str">
        <f>VLOOKUP(B15,nomi!B:C,2,FALSE)</f>
        <v>CSC_stefano</v>
      </c>
      <c r="D15" s="127" t="str">
        <f>VLOOKUP(B15,nomi!B:G,6,FALSE)</f>
        <v>CSC</v>
      </c>
      <c r="E15" s="12" t="str">
        <f>'CLASSIFICA ORDINATA'!C14</f>
        <v/>
      </c>
      <c r="F15" s="12">
        <f>'CLASSIFICA ORDINATA'!D14</f>
        <v>10</v>
      </c>
      <c r="G15" s="12" t="str">
        <f>'CLASSIFICA ORDINATA'!E14</f>
        <v/>
      </c>
      <c r="H15" s="139">
        <f>'CLASSIFICA ORDINATA'!F14</f>
        <v>10</v>
      </c>
      <c r="I15" s="12" t="str">
        <f>'CLASSIFICA ORDINATA'!G14</f>
        <v/>
      </c>
      <c r="J15" s="12">
        <f>'CLASSIFICA ORDINATA'!H14</f>
        <v>5</v>
      </c>
      <c r="K15" s="12" t="str">
        <f>'CLASSIFICA ORDINATA'!I14</f>
        <v/>
      </c>
      <c r="L15" s="139">
        <f>'CLASSIFICA ORDINATA'!J14</f>
        <v>5</v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139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139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139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139" t="str">
        <f>'CLASSIFICA ORDINATA'!Z14</f>
        <v/>
      </c>
      <c r="AC15" s="140">
        <f>'CLASSIFICA ORDINATA'!AA14</f>
        <v>15</v>
      </c>
    </row>
    <row r="16" spans="1:29" ht="20" customHeight="1" x14ac:dyDescent="0.2">
      <c r="A16" s="131" t="s">
        <v>12</v>
      </c>
      <c r="B16" s="127" t="str">
        <f>'CLASSIFICA ORDINATA'!B15</f>
        <v>DCT-bazzo</v>
      </c>
      <c r="C16" s="127" t="str">
        <f>VLOOKUP(B16,nomi!B:C,2,FALSE)</f>
        <v>Mister Bazzo</v>
      </c>
      <c r="D16" s="127" t="str">
        <f>VLOOKUP(B16,nomi!B:G,6,FALSE)</f>
        <v>DCT</v>
      </c>
      <c r="E16" s="12" t="str">
        <f>'CLASSIFICA ORDINATA'!C15</f>
        <v/>
      </c>
      <c r="F16" s="12">
        <f>'CLASSIFICA ORDINATA'!D15</f>
        <v>14</v>
      </c>
      <c r="G16" s="12" t="str">
        <f>'CLASSIFICA ORDINATA'!E15</f>
        <v/>
      </c>
      <c r="H16" s="139">
        <f>'CLASSIFICA ORDINATA'!F15</f>
        <v>14</v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139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139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139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139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139" t="str">
        <f>'CLASSIFICA ORDINATA'!Z15</f>
        <v/>
      </c>
      <c r="AC16" s="140">
        <f>'CLASSIFICA ORDINATA'!AA15</f>
        <v>14</v>
      </c>
    </row>
    <row r="17" spans="1:16360" ht="20" customHeight="1" x14ac:dyDescent="0.2">
      <c r="A17" s="131" t="s">
        <v>13</v>
      </c>
      <c r="B17" s="127" t="str">
        <f>'CLASSIFICA ORDINATA'!B16</f>
        <v>TeoDaniricky2000</v>
      </c>
      <c r="C17" s="127" t="str">
        <f>VLOOKUP(B17,nomi!B:C,2,FALSE)</f>
        <v>TeoDaniricky2000</v>
      </c>
      <c r="D17" s="127" t="str">
        <f>VLOOKUP(B17,nomi!B:G,6,FALSE)</f>
        <v>TLMA</v>
      </c>
      <c r="E17" s="12" t="str">
        <f>'CLASSIFICA ORDINATA'!C16</f>
        <v/>
      </c>
      <c r="F17" s="12">
        <f>'CLASSIFICA ORDINATA'!D16</f>
        <v>4</v>
      </c>
      <c r="G17" s="12" t="str">
        <f>'CLASSIFICA ORDINATA'!E16</f>
        <v/>
      </c>
      <c r="H17" s="139">
        <f>'CLASSIFICA ORDINATA'!F16</f>
        <v>4</v>
      </c>
      <c r="I17" s="12" t="str">
        <f>'CLASSIFICA ORDINATA'!G16</f>
        <v/>
      </c>
      <c r="J17" s="12">
        <f>'CLASSIFICA ORDINATA'!H16</f>
        <v>6</v>
      </c>
      <c r="K17" s="12" t="str">
        <f>'CLASSIFICA ORDINATA'!I16</f>
        <v/>
      </c>
      <c r="L17" s="139">
        <f>'CLASSIFICA ORDINATA'!J16</f>
        <v>6</v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139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139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139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139" t="str">
        <f>'CLASSIFICA ORDINATA'!Z16</f>
        <v/>
      </c>
      <c r="AC17" s="140">
        <f>'CLASSIFICA ORDINATA'!AA16</f>
        <v>10</v>
      </c>
    </row>
    <row r="18" spans="1:16360" ht="20" customHeight="1" x14ac:dyDescent="0.2">
      <c r="A18" s="131" t="s">
        <v>20</v>
      </c>
      <c r="B18" s="127" t="str">
        <f>'CLASSIFICA ORDINATA'!B17</f>
        <v>Assemazz</v>
      </c>
      <c r="C18" s="127" t="str">
        <f>VLOOKUP(B18,nomi!B:C,2,FALSE)</f>
        <v>TLM_GAMMA</v>
      </c>
      <c r="D18" s="127" t="str">
        <f>VLOOKUP(B18,nomi!B:G,6,FALSE)</f>
        <v>TLM</v>
      </c>
      <c r="E18" s="12" t="str">
        <f>'CLASSIFICA ORDINATA'!C17</f>
        <v/>
      </c>
      <c r="F18" s="12">
        <f>'CLASSIFICA ORDINATA'!D17</f>
        <v>5</v>
      </c>
      <c r="G18" s="12" t="str">
        <f>'CLASSIFICA ORDINATA'!E17</f>
        <v/>
      </c>
      <c r="H18" s="139">
        <f>'CLASSIFICA ORDINATA'!F17</f>
        <v>5</v>
      </c>
      <c r="I18" s="12" t="str">
        <f>'CLASSIFICA ORDINATA'!G17</f>
        <v/>
      </c>
      <c r="J18" s="12">
        <f>'CLASSIFICA ORDINATA'!H17</f>
        <v>4</v>
      </c>
      <c r="K18" s="12" t="str">
        <f>'CLASSIFICA ORDINATA'!I17</f>
        <v/>
      </c>
      <c r="L18" s="139">
        <f>'CLASSIFICA ORDINATA'!J17</f>
        <v>4</v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139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139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139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139" t="str">
        <f>'CLASSIFICA ORDINATA'!Z17</f>
        <v/>
      </c>
      <c r="AC18" s="140">
        <f>'CLASSIFICA ORDINATA'!AA17</f>
        <v>9</v>
      </c>
    </row>
    <row r="19" spans="1:16360" ht="20" customHeight="1" x14ac:dyDescent="0.25">
      <c r="A19" s="131" t="s">
        <v>21</v>
      </c>
      <c r="B19" s="127" t="str">
        <f>'CLASSIFICA ORDINATA'!B18</f>
        <v>Monster_Nova_RS</v>
      </c>
      <c r="C19" s="127" t="str">
        <f>VLOOKUP(B19,nomi!B:C,2,FALSE)</f>
        <v>TLM_Monster_RS</v>
      </c>
      <c r="D19" s="127" t="str">
        <f>VLOOKUP(B19,nomi!B:G,6,FALSE)</f>
        <v>TLM</v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139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139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139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139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139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139" t="str">
        <f>'CLASSIFICA ORDINATA'!Z18</f>
        <v/>
      </c>
      <c r="AC19" s="140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90" t="s">
        <v>31</v>
      </c>
      <c r="B20" s="103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128" t="s">
        <v>2</v>
      </c>
      <c r="B21" s="127" t="str">
        <f>'CLASSIFICA ORDINATA'!B20</f>
        <v>BAD_Brucem84</v>
      </c>
      <c r="C21" s="127" t="str">
        <f>VLOOKUP(B21,nomi!B:C,2,FALSE)</f>
        <v>BAD_brucem84</v>
      </c>
      <c r="D21" s="127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139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139">
        <f>'CLASSIFICA ORDINATA'!J20</f>
        <v>25</v>
      </c>
      <c r="M21" s="12" t="str">
        <f>'CLASSIFICA ORDINATA'!K20</f>
        <v/>
      </c>
      <c r="N21" s="12" t="str">
        <f>'CLASSIFICA ORDINATA'!L20</f>
        <v/>
      </c>
      <c r="O21" s="12" t="str">
        <f>'CLASSIFICA ORDINATA'!M20</f>
        <v/>
      </c>
      <c r="P21" s="139" t="str">
        <f>'CLASSIFICA ORDINATA'!N20</f>
        <v/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139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139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139" t="str">
        <f>'CLASSIFICA ORDINATA'!Z20</f>
        <v/>
      </c>
      <c r="AC21" s="140">
        <f>'CLASSIFICA ORDINATA'!AA20</f>
        <v>51</v>
      </c>
    </row>
    <row r="22" spans="1:16360" ht="20" customHeight="1" x14ac:dyDescent="0.2">
      <c r="A22" s="129" t="s">
        <v>3</v>
      </c>
      <c r="B22" s="127" t="str">
        <f>'CLASSIFICA ORDINATA'!B21</f>
        <v>Pointshark</v>
      </c>
      <c r="C22" s="127" t="str">
        <f>VLOOKUP(B22,nomi!B:C,2,FALSE)</f>
        <v>Daniele</v>
      </c>
      <c r="D22" s="127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139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139">
        <f>'CLASSIFICA ORDINATA'!J21</f>
        <v>21</v>
      </c>
      <c r="M22" s="12" t="str">
        <f>'CLASSIFICA ORDINATA'!K21</f>
        <v/>
      </c>
      <c r="N22" s="12" t="str">
        <f>'CLASSIFICA ORDINATA'!L21</f>
        <v/>
      </c>
      <c r="O22" s="12" t="str">
        <f>'CLASSIFICA ORDINATA'!M21</f>
        <v/>
      </c>
      <c r="P22" s="139" t="str">
        <f>'CLASSIFICA ORDINATA'!N21</f>
        <v/>
      </c>
      <c r="Q22" s="12" t="str">
        <f>'CLASSIFICA ORDINATA'!O21</f>
        <v/>
      </c>
      <c r="R22" s="12" t="str">
        <f>'CLASSIFICA ORDINATA'!P21</f>
        <v/>
      </c>
      <c r="S22" s="12" t="str">
        <f>'CLASSIFICA ORDINATA'!Q21</f>
        <v/>
      </c>
      <c r="T22" s="139" t="str">
        <f>'CLASSIFICA ORDINATA'!R21</f>
        <v/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139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139" t="str">
        <f>'CLASSIFICA ORDINATA'!Z21</f>
        <v/>
      </c>
      <c r="AC22" s="140">
        <f>'CLASSIFICA ORDINATA'!AA21</f>
        <v>40</v>
      </c>
    </row>
    <row r="23" spans="1:16360" ht="20" customHeight="1" x14ac:dyDescent="0.2">
      <c r="A23" s="130" t="s">
        <v>4</v>
      </c>
      <c r="B23" s="127" t="str">
        <f>'CLASSIFICA ORDINATA'!B22</f>
        <v>Bobgre93</v>
      </c>
      <c r="C23" s="127" t="str">
        <f>VLOOKUP(B23,nomi!B:C,2,FALSE)</f>
        <v>TLM_BobGre93</v>
      </c>
      <c r="D23" s="127" t="str">
        <f>VLOOKUP(B23,nomi!B:G,6,FALSE)</f>
        <v>TLM</v>
      </c>
      <c r="E23" s="12" t="str">
        <f>'CLASSIFICA ORDINATA'!C22</f>
        <v/>
      </c>
      <c r="F23" s="12">
        <f>'CLASSIFICA ORDINATA'!D22</f>
        <v>20</v>
      </c>
      <c r="G23" s="12" t="str">
        <f>'CLASSIFICA ORDINATA'!E22</f>
        <v/>
      </c>
      <c r="H23" s="139">
        <f>'CLASSIFICA ORDINATA'!F22</f>
        <v>20</v>
      </c>
      <c r="I23" s="12" t="str">
        <f>'CLASSIFICA ORDINATA'!G22</f>
        <v/>
      </c>
      <c r="J23" s="12">
        <f>'CLASSIFICA ORDINATA'!H22</f>
        <v>16</v>
      </c>
      <c r="K23" s="12" t="str">
        <f>'CLASSIFICA ORDINATA'!I22</f>
        <v/>
      </c>
      <c r="L23" s="139">
        <f>'CLASSIFICA ORDINATA'!J22</f>
        <v>16</v>
      </c>
      <c r="M23" s="12" t="str">
        <f>'CLASSIFICA ORDINATA'!K22</f>
        <v/>
      </c>
      <c r="N23" s="12" t="str">
        <f>'CLASSIFICA ORDINATA'!L22</f>
        <v/>
      </c>
      <c r="O23" s="12" t="str">
        <f>'CLASSIFICA ORDINATA'!M22</f>
        <v/>
      </c>
      <c r="P23" s="139" t="str">
        <f>'CLASSIFICA ORDINATA'!N22</f>
        <v/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139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139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139" t="str">
        <f>'CLASSIFICA ORDINATA'!Z22</f>
        <v/>
      </c>
      <c r="AC23" s="140">
        <f>'CLASSIFICA ORDINATA'!AA22</f>
        <v>36</v>
      </c>
    </row>
    <row r="24" spans="1:16360" ht="20" customHeight="1" x14ac:dyDescent="0.2">
      <c r="A24" s="131" t="s">
        <v>5</v>
      </c>
      <c r="B24" s="127" t="str">
        <f>'CLASSIFICA ORDINATA'!B23</f>
        <v>Buitre83GT</v>
      </c>
      <c r="C24" s="127" t="str">
        <f>VLOOKUP(B24,nomi!B:C,2,FALSE)</f>
        <v>TLM_Proietti</v>
      </c>
      <c r="D24" s="127" t="str">
        <f>VLOOKUP(B24,nomi!B:G,6,FALSE)</f>
        <v>TLM</v>
      </c>
      <c r="E24" s="12" t="str">
        <f>'CLASSIFICA ORDINATA'!C23</f>
        <v/>
      </c>
      <c r="F24" s="12">
        <f>'CLASSIFICA ORDINATA'!D23</f>
        <v>14</v>
      </c>
      <c r="G24" s="12" t="str">
        <f>'CLASSIFICA ORDINATA'!E23</f>
        <v/>
      </c>
      <c r="H24" s="139">
        <f>'CLASSIFICA ORDINATA'!F23</f>
        <v>14</v>
      </c>
      <c r="I24" s="12">
        <f>'CLASSIFICA ORDINATA'!G23</f>
        <v>1</v>
      </c>
      <c r="J24" s="12">
        <f>'CLASSIFICA ORDINATA'!H23</f>
        <v>18</v>
      </c>
      <c r="K24" s="12" t="str">
        <f>'CLASSIFICA ORDINATA'!I23</f>
        <v/>
      </c>
      <c r="L24" s="139">
        <f>'CLASSIFICA ORDINATA'!J23</f>
        <v>19</v>
      </c>
      <c r="M24" s="12" t="str">
        <f>'CLASSIFICA ORDINATA'!K23</f>
        <v/>
      </c>
      <c r="N24" s="12" t="str">
        <f>'CLASSIFICA ORDINATA'!L23</f>
        <v/>
      </c>
      <c r="O24" s="12" t="str">
        <f>'CLASSIFICA ORDINATA'!M23</f>
        <v/>
      </c>
      <c r="P24" s="139" t="str">
        <f>'CLASSIFICA ORDINATA'!N23</f>
        <v/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139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139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139" t="str">
        <f>'CLASSIFICA ORDINATA'!Z23</f>
        <v/>
      </c>
      <c r="AC24" s="140">
        <f>'CLASSIFICA ORDINATA'!AA23</f>
        <v>33</v>
      </c>
    </row>
    <row r="25" spans="1:16360" ht="20" customHeight="1" x14ac:dyDescent="0.2">
      <c r="A25" s="131" t="s">
        <v>6</v>
      </c>
      <c r="B25" s="127" t="str">
        <f>'CLASSIFICA ORDINATA'!B24</f>
        <v>CORNAZZAI73</v>
      </c>
      <c r="C25" s="127" t="str">
        <f>VLOOKUP(B25,nomi!B:C,2,FALSE)</f>
        <v>GTID_Cornazzai73</v>
      </c>
      <c r="D25" s="127" t="str">
        <f>VLOOKUP(B25,nomi!B:G,6,FALSE)</f>
        <v>GTID</v>
      </c>
      <c r="E25" s="12" t="str">
        <f>'CLASSIFICA ORDINATA'!C24</f>
        <v/>
      </c>
      <c r="F25" s="12">
        <f>'CLASSIFICA ORDINATA'!D24</f>
        <v>16</v>
      </c>
      <c r="G25" s="12" t="str">
        <f>'CLASSIFICA ORDINATA'!E24</f>
        <v/>
      </c>
      <c r="H25" s="139">
        <f>'CLASSIFICA ORDINATA'!F24</f>
        <v>16</v>
      </c>
      <c r="I25" s="12" t="str">
        <f>'CLASSIFICA ORDINATA'!G24</f>
        <v/>
      </c>
      <c r="J25" s="12">
        <f>'CLASSIFICA ORDINATA'!H24</f>
        <v>14</v>
      </c>
      <c r="K25" s="12" t="str">
        <f>'CLASSIFICA ORDINATA'!I24</f>
        <v/>
      </c>
      <c r="L25" s="139">
        <f>'CLASSIFICA ORDINATA'!J24</f>
        <v>14</v>
      </c>
      <c r="M25" s="12" t="str">
        <f>'CLASSIFICA ORDINATA'!K24</f>
        <v/>
      </c>
      <c r="N25" s="12" t="str">
        <f>'CLASSIFICA ORDINATA'!L24</f>
        <v/>
      </c>
      <c r="O25" s="12" t="str">
        <f>'CLASSIFICA ORDINATA'!M24</f>
        <v/>
      </c>
      <c r="P25" s="139" t="str">
        <f>'CLASSIFICA ORDINATA'!N24</f>
        <v/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139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139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139" t="str">
        <f>'CLASSIFICA ORDINATA'!Z24</f>
        <v/>
      </c>
      <c r="AC25" s="140">
        <f>'CLASSIFICA ORDINATA'!AA24</f>
        <v>30</v>
      </c>
    </row>
    <row r="26" spans="1:16360" ht="20" customHeight="1" x14ac:dyDescent="0.2">
      <c r="A26" s="131" t="s">
        <v>7</v>
      </c>
      <c r="B26" s="127" t="str">
        <f>'CLASSIFICA ORDINATA'!B25</f>
        <v>GTRC_Frenkmik93</v>
      </c>
      <c r="C26" s="127" t="str">
        <f>VLOOKUP(B26,nomi!B:C,2,FALSE)</f>
        <v>GTRC_FrenkMik93</v>
      </c>
      <c r="D26" s="127" t="str">
        <f>VLOOKUP(B26,nomi!B:G,6,FALSE)</f>
        <v>GTRC</v>
      </c>
      <c r="E26" s="12" t="str">
        <f>'CLASSIFICA ORDINATA'!C25</f>
        <v/>
      </c>
      <c r="F26" s="12">
        <f>'CLASSIFICA ORDINATA'!D25</f>
        <v>12</v>
      </c>
      <c r="G26" s="12">
        <f>'CLASSIFICA ORDINATA'!E25</f>
        <v>1</v>
      </c>
      <c r="H26" s="139">
        <f>'CLASSIFICA ORDINATA'!F25</f>
        <v>13</v>
      </c>
      <c r="I26" s="12" t="str">
        <f>'CLASSIFICA ORDINATA'!G25</f>
        <v/>
      </c>
      <c r="J26" s="12">
        <f>'CLASSIFICA ORDINATA'!H25</f>
        <v>12</v>
      </c>
      <c r="K26" s="12" t="str">
        <f>'CLASSIFICA ORDINATA'!I25</f>
        <v/>
      </c>
      <c r="L26" s="139">
        <f>'CLASSIFICA ORDINATA'!J25</f>
        <v>12</v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139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139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139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139" t="str">
        <f>'CLASSIFICA ORDINATA'!Z25</f>
        <v/>
      </c>
      <c r="AC26" s="140">
        <f>'CLASSIFICA ORDINATA'!AA25</f>
        <v>25</v>
      </c>
    </row>
    <row r="27" spans="1:16360" ht="20" customHeight="1" x14ac:dyDescent="0.2">
      <c r="A27" s="131" t="s">
        <v>8</v>
      </c>
      <c r="B27" s="127" t="str">
        <f>'CLASSIFICA ORDINATA'!B26</f>
        <v>Freshofthezone</v>
      </c>
      <c r="C27" s="127" t="str">
        <f>VLOOKUP(B27,nomi!B:C,2,FALSE)</f>
        <v>Frescodizona</v>
      </c>
      <c r="D27" s="127" t="str">
        <f>VLOOKUP(B27,nomi!B:G,6,FALSE)</f>
        <v>TLMA</v>
      </c>
      <c r="E27" s="12" t="str">
        <f>'CLASSIFICA ORDINATA'!C26</f>
        <v/>
      </c>
      <c r="F27" s="12">
        <f>'CLASSIFICA ORDINATA'!D26</f>
        <v>8</v>
      </c>
      <c r="G27" s="12" t="str">
        <f>'CLASSIFICA ORDINATA'!E26</f>
        <v/>
      </c>
      <c r="H27" s="139">
        <f>'CLASSIFICA ORDINATA'!F26</f>
        <v>8</v>
      </c>
      <c r="I27" s="12" t="str">
        <f>'CLASSIFICA ORDINATA'!G26</f>
        <v/>
      </c>
      <c r="J27" s="12">
        <f>'CLASSIFICA ORDINATA'!H26</f>
        <v>10</v>
      </c>
      <c r="K27" s="12" t="str">
        <f>'CLASSIFICA ORDINATA'!I26</f>
        <v/>
      </c>
      <c r="L27" s="139">
        <f>'CLASSIFICA ORDINATA'!J26</f>
        <v>10</v>
      </c>
      <c r="M27" s="12" t="str">
        <f>'CLASSIFICA ORDINATA'!K26</f>
        <v/>
      </c>
      <c r="N27" s="12" t="str">
        <f>'CLASSIFICA ORDINATA'!L26</f>
        <v/>
      </c>
      <c r="O27" s="12" t="str">
        <f>'CLASSIFICA ORDINATA'!M26</f>
        <v/>
      </c>
      <c r="P27" s="139" t="str">
        <f>'CLASSIFICA ORDINATA'!N26</f>
        <v/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139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139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139" t="str">
        <f>'CLASSIFICA ORDINATA'!Z26</f>
        <v/>
      </c>
      <c r="AC27" s="140">
        <f>'CLASSIFICA ORDINATA'!AA26</f>
        <v>18</v>
      </c>
    </row>
    <row r="28" spans="1:16360" ht="20" customHeight="1" x14ac:dyDescent="0.2">
      <c r="A28" s="131" t="s">
        <v>9</v>
      </c>
      <c r="B28" s="127" t="str">
        <f>'CLASSIFICA ORDINATA'!B27</f>
        <v>GTRC_AMALA_ETNA</v>
      </c>
      <c r="C28" s="127" t="str">
        <f>VLOOKUP(B28,nomi!B:C,2,FALSE)</f>
        <v>GTRC_AMALA_ETNA</v>
      </c>
      <c r="D28" s="127" t="str">
        <f>VLOOKUP(B28,nomi!B:G,6,FALSE)</f>
        <v>GTRC</v>
      </c>
      <c r="E28" s="12" t="str">
        <f>'CLASSIFICA ORDINATA'!C27</f>
        <v/>
      </c>
      <c r="F28" s="12">
        <f>'CLASSIFICA ORDINATA'!D27</f>
        <v>10</v>
      </c>
      <c r="G28" s="12" t="str">
        <f>'CLASSIFICA ORDINATA'!E27</f>
        <v/>
      </c>
      <c r="H28" s="139">
        <f>'CLASSIFICA ORDINATA'!F27</f>
        <v>10</v>
      </c>
      <c r="I28" s="12" t="str">
        <f>'CLASSIFICA ORDINATA'!G27</f>
        <v/>
      </c>
      <c r="J28" s="12">
        <f>'CLASSIFICA ORDINATA'!H27</f>
        <v>6</v>
      </c>
      <c r="K28" s="12" t="str">
        <f>'CLASSIFICA ORDINATA'!I27</f>
        <v/>
      </c>
      <c r="L28" s="139">
        <f>'CLASSIFICA ORDINATA'!J27</f>
        <v>6</v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139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139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139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139" t="str">
        <f>'CLASSIFICA ORDINATA'!Z27</f>
        <v/>
      </c>
      <c r="AC28" s="140">
        <f>'CLASSIFICA ORDINATA'!AA27</f>
        <v>16</v>
      </c>
    </row>
    <row r="29" spans="1:16360" ht="20" customHeight="1" x14ac:dyDescent="0.2">
      <c r="A29" s="131" t="s">
        <v>10</v>
      </c>
      <c r="B29" s="127" t="str">
        <f>'CLASSIFICA ORDINATA'!B28</f>
        <v>Talsigiano</v>
      </c>
      <c r="C29" s="127" t="str">
        <f>VLOOKUP(B29,nomi!B:C,2,FALSE)</f>
        <v xml:space="preserve">Talsigiano </v>
      </c>
      <c r="D29" s="127" t="str">
        <f>VLOOKUP(B29,nomi!B:G,6,FALSE)</f>
        <v>TLMA</v>
      </c>
      <c r="E29" s="12" t="str">
        <f>'CLASSIFICA ORDINATA'!C28</f>
        <v/>
      </c>
      <c r="F29" s="12">
        <f>'CLASSIFICA ORDINATA'!D28</f>
        <v>5</v>
      </c>
      <c r="G29" s="12" t="str">
        <f>'CLASSIFICA ORDINATA'!E28</f>
        <v/>
      </c>
      <c r="H29" s="139">
        <f>'CLASSIFICA ORDINATA'!F28</f>
        <v>5</v>
      </c>
      <c r="I29" s="12" t="str">
        <f>'CLASSIFICA ORDINATA'!G28</f>
        <v/>
      </c>
      <c r="J29" s="12">
        <f>'CLASSIFICA ORDINATA'!H28</f>
        <v>8</v>
      </c>
      <c r="K29" s="12" t="str">
        <f>'CLASSIFICA ORDINATA'!I28</f>
        <v/>
      </c>
      <c r="L29" s="139">
        <f>'CLASSIFICA ORDINATA'!J28</f>
        <v>8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139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139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139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139" t="str">
        <f>'CLASSIFICA ORDINATA'!Z28</f>
        <v/>
      </c>
      <c r="AC29" s="140">
        <f>'CLASSIFICA ORDINATA'!AA28</f>
        <v>13</v>
      </c>
    </row>
    <row r="30" spans="1:16360" ht="20" customHeight="1" x14ac:dyDescent="0.2">
      <c r="A30" s="131" t="s">
        <v>11</v>
      </c>
      <c r="B30" s="127" t="str">
        <f>'CLASSIFICA ORDINATA'!B29</f>
        <v>Blokkobubbles</v>
      </c>
      <c r="C30" s="127" t="str">
        <f>VLOOKUP(B30,nomi!B:C,2,FALSE)</f>
        <v>Blokko</v>
      </c>
      <c r="D30" s="127" t="str">
        <f>VLOOKUP(B30,nomi!B:G,6,FALSE)</f>
        <v>TLMA</v>
      </c>
      <c r="E30" s="12" t="str">
        <f>'CLASSIFICA ORDINATA'!C29</f>
        <v/>
      </c>
      <c r="F30" s="12">
        <f>'CLASSIFICA ORDINATA'!D29</f>
        <v>6</v>
      </c>
      <c r="G30" s="12" t="str">
        <f>'CLASSIFICA ORDINATA'!E29</f>
        <v/>
      </c>
      <c r="H30" s="139">
        <f>'CLASSIFICA ORDINATA'!F29</f>
        <v>6</v>
      </c>
      <c r="I30" s="12" t="str">
        <f>'CLASSIFICA ORDINATA'!G29</f>
        <v/>
      </c>
      <c r="J30" s="12">
        <f>'CLASSIFICA ORDINATA'!H29</f>
        <v>5</v>
      </c>
      <c r="K30" s="12" t="str">
        <f>'CLASSIFICA ORDINATA'!I29</f>
        <v/>
      </c>
      <c r="L30" s="139">
        <f>'CLASSIFICA ORDINATA'!J29</f>
        <v>5</v>
      </c>
      <c r="M30" s="12" t="str">
        <f>'CLASSIFICA ORDINATA'!K29</f>
        <v/>
      </c>
      <c r="N30" s="12" t="str">
        <f>'CLASSIFICA ORDINATA'!L29</f>
        <v/>
      </c>
      <c r="O30" s="12" t="str">
        <f>'CLASSIFICA ORDINATA'!M29</f>
        <v/>
      </c>
      <c r="P30" s="139" t="str">
        <f>'CLASSIFICA ORDINATA'!N29</f>
        <v/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139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139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139" t="str">
        <f>'CLASSIFICA ORDINATA'!Z29</f>
        <v/>
      </c>
      <c r="AC30" s="140">
        <f>'CLASSIFICA ORDINATA'!AA29</f>
        <v>11</v>
      </c>
    </row>
    <row r="31" spans="1:16360" ht="20" customHeight="1" x14ac:dyDescent="0.2">
      <c r="A31" s="131" t="s">
        <v>12</v>
      </c>
      <c r="B31" s="127" t="str">
        <f>'CLASSIFICA ORDINATA'!B30</f>
        <v>jack-187-jack</v>
      </c>
      <c r="C31" s="127" t="str">
        <f>VLOOKUP(B31,nomi!B:C,2,FALSE)</f>
        <v>Jack187</v>
      </c>
      <c r="D31" s="127" t="str">
        <f>VLOOKUP(B31,nomi!B:G,6,FALSE)</f>
        <v>TLMA</v>
      </c>
      <c r="E31" s="12" t="str">
        <f>'CLASSIFICA ORDINATA'!C30</f>
        <v/>
      </c>
      <c r="F31" s="12">
        <f>'CLASSIFICA ORDINATA'!D30</f>
        <v>4</v>
      </c>
      <c r="G31" s="12" t="str">
        <f>'CLASSIFICA ORDINATA'!E30</f>
        <v/>
      </c>
      <c r="H31" s="139">
        <f>'CLASSIFICA ORDINATA'!F30</f>
        <v>4</v>
      </c>
      <c r="I31" s="12" t="str">
        <f>'CLASSIFICA ORDINATA'!G30</f>
        <v/>
      </c>
      <c r="J31" s="12">
        <f>'CLASSIFICA ORDINATA'!H30</f>
        <v>4</v>
      </c>
      <c r="K31" s="12" t="str">
        <f>'CLASSIFICA ORDINATA'!I30</f>
        <v/>
      </c>
      <c r="L31" s="139">
        <f>'CLASSIFICA ORDINATA'!J30</f>
        <v>4</v>
      </c>
      <c r="M31" s="12" t="str">
        <f>'CLASSIFICA ORDINATA'!K30</f>
        <v/>
      </c>
      <c r="N31" s="12" t="str">
        <f>'CLASSIFICA ORDINATA'!L30</f>
        <v/>
      </c>
      <c r="O31" s="12" t="str">
        <f>'CLASSIFICA ORDINATA'!M30</f>
        <v/>
      </c>
      <c r="P31" s="139" t="str">
        <f>'CLASSIFICA ORDINATA'!N30</f>
        <v/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139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139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139" t="str">
        <f>'CLASSIFICA ORDINATA'!Z30</f>
        <v/>
      </c>
      <c r="AC31" s="140">
        <f>'CLASSIFICA ORDINATA'!AA30</f>
        <v>8</v>
      </c>
    </row>
    <row r="32" spans="1:16360" ht="20" customHeight="1" x14ac:dyDescent="0.2">
      <c r="A32" s="131" t="s">
        <v>13</v>
      </c>
      <c r="B32" s="127" t="str">
        <f>'CLASSIFICA ORDINATA'!B31</f>
        <v>Mancinelli2002</v>
      </c>
      <c r="C32" s="127" t="str">
        <f>VLOOKUP(B32,nomi!B:C,2,FALSE)</f>
        <v>Gian</v>
      </c>
      <c r="D32" s="127" t="str">
        <f>VLOOKUP(B32,nomi!B:G,6,FALSE)</f>
        <v>TLMA</v>
      </c>
      <c r="E32" s="12" t="str">
        <f>'CLASSIFICA ORDINATA'!C31</f>
        <v/>
      </c>
      <c r="F32" s="12">
        <f>'CLASSIFICA ORDINATA'!D31</f>
        <v>2</v>
      </c>
      <c r="G32" s="12" t="str">
        <f>'CLASSIFICA ORDINATA'!E31</f>
        <v/>
      </c>
      <c r="H32" s="139">
        <f>'CLASSIFICA ORDINATA'!F31</f>
        <v>2</v>
      </c>
      <c r="I32" s="12" t="str">
        <f>'CLASSIFICA ORDINATA'!G31</f>
        <v/>
      </c>
      <c r="J32" s="12">
        <f>'CLASSIFICA ORDINATA'!H31</f>
        <v>3</v>
      </c>
      <c r="K32" s="12" t="str">
        <f>'CLASSIFICA ORDINATA'!I31</f>
        <v/>
      </c>
      <c r="L32" s="139">
        <f>'CLASSIFICA ORDINATA'!J31</f>
        <v>3</v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139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139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139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139" t="str">
        <f>'CLASSIFICA ORDINATA'!Z31</f>
        <v/>
      </c>
      <c r="AC32" s="140">
        <f>'CLASSIFICA ORDINATA'!AA31</f>
        <v>5</v>
      </c>
    </row>
    <row r="33" spans="1:29" ht="20" customHeight="1" x14ac:dyDescent="0.2">
      <c r="A33" s="131" t="s">
        <v>20</v>
      </c>
      <c r="B33" s="127" t="str">
        <f>'CLASSIFICA ORDINATA'!B32</f>
        <v>TLM_Verce90</v>
      </c>
      <c r="C33" s="127" t="str">
        <f>VLOOKUP(B33,nomi!B:C,2,FALSE)</f>
        <v>Verce</v>
      </c>
      <c r="D33" s="127" t="str">
        <f>VLOOKUP(B33,nomi!B:G,6,FALSE)</f>
        <v>TLM</v>
      </c>
      <c r="E33" s="12" t="str">
        <f>'CLASSIFICA ORDINATA'!C32</f>
        <v/>
      </c>
      <c r="F33" s="12">
        <f>'CLASSIFICA ORDINATA'!D32</f>
        <v>3</v>
      </c>
      <c r="G33" s="12" t="str">
        <f>'CLASSIFICA ORDINATA'!E32</f>
        <v/>
      </c>
      <c r="H33" s="139">
        <f>'CLASSIFICA ORDINATA'!F32</f>
        <v>3</v>
      </c>
      <c r="I33" s="12" t="str">
        <f>'CLASSIFICA ORDINATA'!G32</f>
        <v/>
      </c>
      <c r="J33" s="12">
        <f>'CLASSIFICA ORDINATA'!H32</f>
        <v>2</v>
      </c>
      <c r="K33" s="12" t="str">
        <f>'CLASSIFICA ORDINATA'!I32</f>
        <v/>
      </c>
      <c r="L33" s="139">
        <f>'CLASSIFICA ORDINATA'!J32</f>
        <v>2</v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139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139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139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139" t="str">
        <f>'CLASSIFICA ORDINATA'!Z32</f>
        <v/>
      </c>
      <c r="AC33" s="140">
        <f>'CLASSIFICA ORDINATA'!AA32</f>
        <v>5</v>
      </c>
    </row>
    <row r="34" spans="1:29" ht="20" customHeight="1" x14ac:dyDescent="0.2">
      <c r="A34" s="131" t="s">
        <v>21</v>
      </c>
      <c r="B34" s="127" t="str">
        <f>'CLASSIFICA ORDINATA'!B33</f>
        <v/>
      </c>
      <c r="C34" s="127" t="str">
        <f>IFERROR(VLOOKUP(B34,nomi!B:C,2,FALSE),"")</f>
        <v/>
      </c>
      <c r="D34" s="127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139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139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139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139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139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139" t="str">
        <f>'CLASSIFICA ORDINATA'!Z33</f>
        <v/>
      </c>
      <c r="AC34" s="140" t="str">
        <f>'CLASSIFICA ORDINATA'!AA33</f>
        <v/>
      </c>
    </row>
    <row r="35" spans="1:29" ht="20" customHeight="1" x14ac:dyDescent="0.2">
      <c r="A35" s="88" t="s">
        <v>49</v>
      </c>
      <c r="B35" s="89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128" t="s">
        <v>2</v>
      </c>
      <c r="B36" s="127" t="str">
        <f>'CLASSIFICA ORDINATA'!B35</f>
        <v>Flavio-VR46</v>
      </c>
      <c r="C36" s="127" t="str">
        <f>VLOOKUP(B36,nomi!B:C,2,FALSE)</f>
        <v>RMT-Flavio-VR46</v>
      </c>
      <c r="D36" s="127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139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139">
        <f>'CLASSIFICA ORDINATA'!J35</f>
        <v>27</v>
      </c>
      <c r="M36" s="12" t="str">
        <f>'CLASSIFICA ORDINATA'!K35</f>
        <v/>
      </c>
      <c r="N36" s="12" t="str">
        <f>'CLASSIFICA ORDINATA'!L35</f>
        <v/>
      </c>
      <c r="O36" s="12" t="str">
        <f>'CLASSIFICA ORDINATA'!M35</f>
        <v/>
      </c>
      <c r="P36" s="139" t="str">
        <f>'CLASSIFICA ORDINATA'!N35</f>
        <v/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139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139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139" t="str">
        <f>'CLASSIFICA ORDINATA'!Z35</f>
        <v/>
      </c>
      <c r="AC36" s="140">
        <f>'CLASSIFICA ORDINATA'!AA35</f>
        <v>54</v>
      </c>
    </row>
    <row r="37" spans="1:29" ht="20" customHeight="1" x14ac:dyDescent="0.2">
      <c r="A37" s="129" t="s">
        <v>3</v>
      </c>
      <c r="B37" s="127" t="str">
        <f>'CLASSIFICA ORDINATA'!B36</f>
        <v>TLM_SKIZZO 34</v>
      </c>
      <c r="C37" s="127" t="str">
        <f>VLOOKUP(B37,nomi!B:C,2,FALSE)</f>
        <v>TLM_SKIIZZO 34</v>
      </c>
      <c r="D37" s="127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139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139">
        <f>'CLASSIFICA ORDINATA'!J36</f>
        <v>18</v>
      </c>
      <c r="M37" s="12" t="str">
        <f>'CLASSIFICA ORDINATA'!K36</f>
        <v/>
      </c>
      <c r="N37" s="12" t="str">
        <f>'CLASSIFICA ORDINATA'!L36</f>
        <v/>
      </c>
      <c r="O37" s="12" t="str">
        <f>'CLASSIFICA ORDINATA'!M36</f>
        <v/>
      </c>
      <c r="P37" s="139" t="str">
        <f>'CLASSIFICA ORDINATA'!N36</f>
        <v/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139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139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139" t="str">
        <f>'CLASSIFICA ORDINATA'!Z36</f>
        <v/>
      </c>
      <c r="AC37" s="140">
        <f>'CLASSIFICA ORDINATA'!AA36</f>
        <v>34</v>
      </c>
    </row>
    <row r="38" spans="1:29" ht="20" customHeight="1" x14ac:dyDescent="0.2">
      <c r="A38" s="130" t="s">
        <v>4</v>
      </c>
      <c r="B38" s="127" t="str">
        <f>'CLASSIFICA ORDINATA'!B37</f>
        <v>TheGuarny</v>
      </c>
      <c r="C38" s="127" t="str">
        <f>VLOOKUP(B38,nomi!B:C,2,FALSE)</f>
        <v>A. Guarnaccia</v>
      </c>
      <c r="D38" s="127" t="str">
        <f>VLOOKUP(B38,nomi!B:G,6,FALSE)</f>
        <v>TLM</v>
      </c>
      <c r="E38" s="12" t="str">
        <f>'CLASSIFICA ORDINATA'!C37</f>
        <v/>
      </c>
      <c r="F38" s="12">
        <f>'CLASSIFICA ORDINATA'!D37</f>
        <v>20</v>
      </c>
      <c r="G38" s="12" t="str">
        <f>'CLASSIFICA ORDINATA'!E37</f>
        <v/>
      </c>
      <c r="H38" s="139">
        <f>'CLASSIFICA ORDINATA'!F37</f>
        <v>20</v>
      </c>
      <c r="I38" s="12" t="str">
        <f>'CLASSIFICA ORDINATA'!G37</f>
        <v/>
      </c>
      <c r="J38" s="12">
        <f>'CLASSIFICA ORDINATA'!H37</f>
        <v>14</v>
      </c>
      <c r="K38" s="12" t="str">
        <f>'CLASSIFICA ORDINATA'!I37</f>
        <v/>
      </c>
      <c r="L38" s="139">
        <f>'CLASSIFICA ORDINATA'!J37</f>
        <v>14</v>
      </c>
      <c r="M38" s="12" t="str">
        <f>'CLASSIFICA ORDINATA'!K37</f>
        <v/>
      </c>
      <c r="N38" s="12" t="str">
        <f>'CLASSIFICA ORDINATA'!L37</f>
        <v/>
      </c>
      <c r="O38" s="12" t="str">
        <f>'CLASSIFICA ORDINATA'!M37</f>
        <v/>
      </c>
      <c r="P38" s="139" t="str">
        <f>'CLASSIFICA ORDINATA'!N37</f>
        <v/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139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139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139" t="str">
        <f>'CLASSIFICA ORDINATA'!Z37</f>
        <v/>
      </c>
      <c r="AC38" s="140">
        <f>'CLASSIFICA ORDINATA'!AA37</f>
        <v>34</v>
      </c>
    </row>
    <row r="39" spans="1:29" ht="20" customHeight="1" x14ac:dyDescent="0.2">
      <c r="A39" s="131" t="s">
        <v>5</v>
      </c>
      <c r="B39" s="127" t="str">
        <f>'CLASSIFICA ORDINATA'!B38</f>
        <v>RMT_GEFF-21</v>
      </c>
      <c r="C39" s="127" t="str">
        <f>VLOOKUP(B39,nomi!B:C,2,FALSE)</f>
        <v>DIEGHITO BOSS</v>
      </c>
      <c r="D39" s="127" t="str">
        <f>VLOOKUP(B39,nomi!B:G,6,FALSE)</f>
        <v>RMT</v>
      </c>
      <c r="E39" s="12" t="str">
        <f>'CLASSIFICA ORDINATA'!C38</f>
        <v/>
      </c>
      <c r="F39" s="12">
        <f>'CLASSIFICA ORDINATA'!D38</f>
        <v>14</v>
      </c>
      <c r="G39" s="12" t="str">
        <f>'CLASSIFICA ORDINATA'!E38</f>
        <v/>
      </c>
      <c r="H39" s="139">
        <f>'CLASSIFICA ORDINATA'!F38</f>
        <v>14</v>
      </c>
      <c r="I39" s="12" t="str">
        <f>'CLASSIFICA ORDINATA'!G38</f>
        <v/>
      </c>
      <c r="J39" s="12">
        <f>'CLASSIFICA ORDINATA'!H38</f>
        <v>16</v>
      </c>
      <c r="K39" s="12" t="str">
        <f>'CLASSIFICA ORDINATA'!I38</f>
        <v/>
      </c>
      <c r="L39" s="139">
        <f>'CLASSIFICA ORDINATA'!J38</f>
        <v>16</v>
      </c>
      <c r="M39" s="12" t="str">
        <f>'CLASSIFICA ORDINATA'!K38</f>
        <v/>
      </c>
      <c r="N39" s="12" t="str">
        <f>'CLASSIFICA ORDINATA'!L38</f>
        <v/>
      </c>
      <c r="O39" s="12" t="str">
        <f>'CLASSIFICA ORDINATA'!M38</f>
        <v/>
      </c>
      <c r="P39" s="139" t="str">
        <f>'CLASSIFICA ORDINATA'!N38</f>
        <v/>
      </c>
      <c r="Q39" s="12" t="str">
        <f>'CLASSIFICA ORDINATA'!O38</f>
        <v/>
      </c>
      <c r="R39" s="12" t="str">
        <f>'CLASSIFICA ORDINATA'!P38</f>
        <v/>
      </c>
      <c r="S39" s="12" t="str">
        <f>'CLASSIFICA ORDINATA'!Q38</f>
        <v/>
      </c>
      <c r="T39" s="139" t="str">
        <f>'CLASSIFICA ORDINATA'!R38</f>
        <v/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139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139" t="str">
        <f>'CLASSIFICA ORDINATA'!Z38</f>
        <v/>
      </c>
      <c r="AC39" s="140">
        <f>'CLASSIFICA ORDINATA'!AA38</f>
        <v>30</v>
      </c>
    </row>
    <row r="40" spans="1:29" ht="20" customHeight="1" x14ac:dyDescent="0.2">
      <c r="A40" s="131" t="s">
        <v>6</v>
      </c>
      <c r="B40" s="127" t="str">
        <f>'CLASSIFICA ORDINATA'!B39</f>
        <v>TLM_wid83</v>
      </c>
      <c r="C40" s="127" t="str">
        <f>VLOOKUP(B40,nomi!B:C,2,FALSE)</f>
        <v>TLM_wid83</v>
      </c>
      <c r="D40" s="127" t="str">
        <f>VLOOKUP(B40,nomi!B:G,6,FALSE)</f>
        <v>TLM</v>
      </c>
      <c r="E40" s="12" t="str">
        <f>'CLASSIFICA ORDINATA'!C39</f>
        <v/>
      </c>
      <c r="F40" s="12">
        <f>'CLASSIFICA ORDINATA'!D39</f>
        <v>18</v>
      </c>
      <c r="G40" s="12" t="str">
        <f>'CLASSIFICA ORDINATA'!E39</f>
        <v/>
      </c>
      <c r="H40" s="139">
        <f>'CLASSIFICA ORDINATA'!F39</f>
        <v>18</v>
      </c>
      <c r="I40" s="12" t="str">
        <f>'CLASSIFICA ORDINATA'!G39</f>
        <v/>
      </c>
      <c r="J40" s="12">
        <f>'CLASSIFICA ORDINATA'!H39</f>
        <v>12</v>
      </c>
      <c r="K40" s="12" t="str">
        <f>'CLASSIFICA ORDINATA'!I39</f>
        <v/>
      </c>
      <c r="L40" s="139">
        <f>'CLASSIFICA ORDINATA'!J39</f>
        <v>12</v>
      </c>
      <c r="M40" s="12" t="str">
        <f>'CLASSIFICA ORDINATA'!K39</f>
        <v/>
      </c>
      <c r="N40" s="12" t="str">
        <f>'CLASSIFICA ORDINATA'!L39</f>
        <v/>
      </c>
      <c r="O40" s="12" t="str">
        <f>'CLASSIFICA ORDINATA'!M39</f>
        <v/>
      </c>
      <c r="P40" s="139" t="str">
        <f>'CLASSIFICA ORDINATA'!N39</f>
        <v/>
      </c>
      <c r="Q40" s="12" t="str">
        <f>'CLASSIFICA ORDINATA'!O39</f>
        <v/>
      </c>
      <c r="R40" s="12" t="str">
        <f>'CLASSIFICA ORDINATA'!P39</f>
        <v/>
      </c>
      <c r="S40" s="12" t="str">
        <f>'CLASSIFICA ORDINATA'!Q39</f>
        <v/>
      </c>
      <c r="T40" s="139" t="str">
        <f>'CLASSIFICA ORDINATA'!R39</f>
        <v/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139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139" t="str">
        <f>'CLASSIFICA ORDINATA'!Z39</f>
        <v/>
      </c>
      <c r="AC40" s="140">
        <f>'CLASSIFICA ORDINATA'!AA39</f>
        <v>30</v>
      </c>
    </row>
    <row r="41" spans="1:29" ht="20" customHeight="1" x14ac:dyDescent="0.2">
      <c r="A41" s="131" t="s">
        <v>7</v>
      </c>
      <c r="B41" s="127" t="str">
        <f>'CLASSIFICA ORDINATA'!B40</f>
        <v>jet_morello</v>
      </c>
      <c r="C41" s="127" t="str">
        <f>VLOOKUP(B41,nomi!B:C,2,FALSE)</f>
        <v>Iaia angelo</v>
      </c>
      <c r="D41" s="127" t="str">
        <f>VLOOKUP(B41,nomi!B:G,6,FALSE)</f>
        <v>TLM</v>
      </c>
      <c r="E41" s="12" t="str">
        <f>'CLASSIFICA ORDINATA'!C40</f>
        <v/>
      </c>
      <c r="F41" s="12">
        <f>'CLASSIFICA ORDINATA'!D40</f>
        <v>12</v>
      </c>
      <c r="G41" s="12" t="str">
        <f>'CLASSIFICA ORDINATA'!E40</f>
        <v/>
      </c>
      <c r="H41" s="139">
        <f>'CLASSIFICA ORDINATA'!F40</f>
        <v>12</v>
      </c>
      <c r="I41" s="12" t="str">
        <f>'CLASSIFICA ORDINATA'!G40</f>
        <v/>
      </c>
      <c r="J41" s="12">
        <f>'CLASSIFICA ORDINATA'!H40</f>
        <v>10</v>
      </c>
      <c r="K41" s="12" t="str">
        <f>'CLASSIFICA ORDINATA'!I40</f>
        <v/>
      </c>
      <c r="L41" s="139">
        <f>'CLASSIFICA ORDINATA'!J40</f>
        <v>10</v>
      </c>
      <c r="M41" s="12" t="str">
        <f>'CLASSIFICA ORDINATA'!K40</f>
        <v/>
      </c>
      <c r="N41" s="12" t="str">
        <f>'CLASSIFICA ORDINATA'!L40</f>
        <v/>
      </c>
      <c r="O41" s="12" t="str">
        <f>'CLASSIFICA ORDINATA'!M40</f>
        <v/>
      </c>
      <c r="P41" s="139" t="str">
        <f>'CLASSIFICA ORDINATA'!N40</f>
        <v/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139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139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139" t="str">
        <f>'CLASSIFICA ORDINATA'!Z40</f>
        <v/>
      </c>
      <c r="AC41" s="140">
        <f>'CLASSIFICA ORDINATA'!AA40</f>
        <v>22</v>
      </c>
    </row>
    <row r="42" spans="1:29" ht="20" customHeight="1" x14ac:dyDescent="0.2">
      <c r="A42" s="131" t="s">
        <v>8</v>
      </c>
      <c r="B42" s="127" t="str">
        <f>'CLASSIFICA ORDINATA'!B41</f>
        <v>andvea_99</v>
      </c>
      <c r="C42" s="127" t="str">
        <f>VLOOKUP(B42,nomi!B:C,2,FALSE)</f>
        <v>TLM_andvea99</v>
      </c>
      <c r="D42" s="127" t="str">
        <f>VLOOKUP(B42,nomi!B:G,6,FALSE)</f>
        <v>TLM</v>
      </c>
      <c r="E42" s="12" t="str">
        <f>'CLASSIFICA ORDINATA'!C41</f>
        <v/>
      </c>
      <c r="F42" s="12" t="str">
        <f>'CLASSIFICA ORDINATA'!D41</f>
        <v/>
      </c>
      <c r="G42" s="12" t="str">
        <f>'CLASSIFICA ORDINATA'!E41</f>
        <v/>
      </c>
      <c r="H42" s="139" t="str">
        <f>'CLASSIFICA ORDINATA'!F41</f>
        <v/>
      </c>
      <c r="I42" s="12" t="str">
        <f>'CLASSIFICA ORDINATA'!G41</f>
        <v/>
      </c>
      <c r="J42" s="12">
        <f>'CLASSIFICA ORDINATA'!H41</f>
        <v>20</v>
      </c>
      <c r="K42" s="12" t="str">
        <f>'CLASSIFICA ORDINATA'!I41</f>
        <v/>
      </c>
      <c r="L42" s="139">
        <f>'CLASSIFICA ORDINATA'!J41</f>
        <v>20</v>
      </c>
      <c r="M42" s="12" t="str">
        <f>'CLASSIFICA ORDINATA'!K41</f>
        <v/>
      </c>
      <c r="N42" s="12" t="str">
        <f>'CLASSIFICA ORDINATA'!L41</f>
        <v/>
      </c>
      <c r="O42" s="12" t="str">
        <f>'CLASSIFICA ORDINATA'!M41</f>
        <v/>
      </c>
      <c r="P42" s="139" t="str">
        <f>'CLASSIFICA ORDINATA'!N41</f>
        <v/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139" t="str">
        <f>'CLASSIFICA ORDINATA'!R41</f>
        <v/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139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139" t="str">
        <f>'CLASSIFICA ORDINATA'!Z41</f>
        <v/>
      </c>
      <c r="AC42" s="140">
        <f>'CLASSIFICA ORDINATA'!AA41</f>
        <v>20</v>
      </c>
    </row>
    <row r="43" spans="1:29" ht="20" customHeight="1" x14ac:dyDescent="0.2">
      <c r="A43" s="131" t="s">
        <v>9</v>
      </c>
      <c r="B43" s="127" t="str">
        <f>'CLASSIFICA ORDINATA'!B42</f>
        <v>Liotru1979</v>
      </c>
      <c r="C43" s="127" t="str">
        <f>VLOOKUP(B43,nomi!B:C,2,FALSE)</f>
        <v xml:space="preserve">TLM Max </v>
      </c>
      <c r="D43" s="127" t="str">
        <f>VLOOKUP(B43,nomi!B:G,6,FALSE)</f>
        <v>TLM</v>
      </c>
      <c r="E43" s="12" t="str">
        <f>'CLASSIFICA ORDINATA'!C42</f>
        <v/>
      </c>
      <c r="F43" s="12">
        <f>'CLASSIFICA ORDINATA'!D42</f>
        <v>8</v>
      </c>
      <c r="G43" s="12" t="str">
        <f>'CLASSIFICA ORDINATA'!E42</f>
        <v/>
      </c>
      <c r="H43" s="139">
        <f>'CLASSIFICA ORDINATA'!F42</f>
        <v>8</v>
      </c>
      <c r="I43" s="12" t="str">
        <f>'CLASSIFICA ORDINATA'!G42</f>
        <v/>
      </c>
      <c r="J43" s="12">
        <f>'CLASSIFICA ORDINATA'!H42</f>
        <v>8</v>
      </c>
      <c r="K43" s="12" t="str">
        <f>'CLASSIFICA ORDINATA'!I42</f>
        <v/>
      </c>
      <c r="L43" s="139">
        <f>'CLASSIFICA ORDINATA'!J42</f>
        <v>8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139" t="str">
        <f>'CLASSIFICA ORDINATA'!N42</f>
        <v/>
      </c>
      <c r="Q43" s="12" t="str">
        <f>'CLASSIFICA ORDINATA'!O42</f>
        <v/>
      </c>
      <c r="R43" s="12" t="str">
        <f>'CLASSIFICA ORDINATA'!P42</f>
        <v/>
      </c>
      <c r="S43" s="12" t="str">
        <f>'CLASSIFICA ORDINATA'!Q42</f>
        <v/>
      </c>
      <c r="T43" s="139" t="str">
        <f>'CLASSIFICA ORDINATA'!R42</f>
        <v/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139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139" t="str">
        <f>'CLASSIFICA ORDINATA'!Z42</f>
        <v/>
      </c>
      <c r="AC43" s="140">
        <f>'CLASSIFICA ORDINATA'!AA42</f>
        <v>16</v>
      </c>
    </row>
    <row r="44" spans="1:29" ht="20" customHeight="1" x14ac:dyDescent="0.2">
      <c r="A44" s="131" t="s">
        <v>10</v>
      </c>
      <c r="B44" s="127" t="str">
        <f>'CLASSIFICA ORDINATA'!B43</f>
        <v>madonte</v>
      </c>
      <c r="C44" s="127" t="str">
        <f>VLOOKUP(B44,nomi!B:C,2,FALSE)</f>
        <v>GTRC_madonte</v>
      </c>
      <c r="D44" s="127" t="str">
        <f>VLOOKUP(B44,nomi!B:G,6,FALSE)</f>
        <v>GTRC</v>
      </c>
      <c r="E44" s="12" t="str">
        <f>'CLASSIFICA ORDINATA'!C43</f>
        <v/>
      </c>
      <c r="F44" s="12">
        <f>'CLASSIFICA ORDINATA'!D43</f>
        <v>10</v>
      </c>
      <c r="G44" s="12" t="str">
        <f>'CLASSIFICA ORDINATA'!E43</f>
        <v/>
      </c>
      <c r="H44" s="139">
        <f>'CLASSIFICA ORDINATA'!F43</f>
        <v>10</v>
      </c>
      <c r="I44" s="12" t="str">
        <f>'CLASSIFICA ORDINATA'!G43</f>
        <v/>
      </c>
      <c r="J44" s="12">
        <f>'CLASSIFICA ORDINATA'!H43</f>
        <v>6</v>
      </c>
      <c r="K44" s="12" t="str">
        <f>'CLASSIFICA ORDINATA'!I43</f>
        <v/>
      </c>
      <c r="L44" s="139">
        <f>'CLASSIFICA ORDINATA'!J43</f>
        <v>6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139" t="str">
        <f>'CLASSIFICA ORDINATA'!N43</f>
        <v/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139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139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139" t="str">
        <f>'CLASSIFICA ORDINATA'!Z43</f>
        <v/>
      </c>
      <c r="AC44" s="140">
        <f>'CLASSIFICA ORDINATA'!AA43</f>
        <v>16</v>
      </c>
    </row>
    <row r="45" spans="1:29" ht="20" customHeight="1" x14ac:dyDescent="0.2">
      <c r="A45" s="131" t="s">
        <v>11</v>
      </c>
      <c r="B45" s="127" t="str">
        <f>'CLASSIFICA ORDINATA'!B44</f>
        <v>Cjcerbola</v>
      </c>
      <c r="C45" s="127" t="str">
        <f>VLOOKUP(B45,nomi!B:C,2,FALSE)</f>
        <v>Dct_Cjcerbola</v>
      </c>
      <c r="D45" s="127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139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139">
        <f>'CLASSIFICA ORDINATA'!J44</f>
        <v>5</v>
      </c>
      <c r="M45" s="12" t="str">
        <f>'CLASSIFICA ORDINATA'!K44</f>
        <v/>
      </c>
      <c r="N45" s="12" t="str">
        <f>'CLASSIFICA ORDINATA'!L44</f>
        <v/>
      </c>
      <c r="O45" s="12" t="str">
        <f>'CLASSIFICA ORDINATA'!M44</f>
        <v/>
      </c>
      <c r="P45" s="139" t="str">
        <f>'CLASSIFICA ORDINATA'!N44</f>
        <v/>
      </c>
      <c r="Q45" s="12" t="str">
        <f>'CLASSIFICA ORDINATA'!O44</f>
        <v/>
      </c>
      <c r="R45" s="12" t="str">
        <f>'CLASSIFICA ORDINATA'!P44</f>
        <v/>
      </c>
      <c r="S45" s="12" t="str">
        <f>'CLASSIFICA ORDINATA'!Q44</f>
        <v/>
      </c>
      <c r="T45" s="139" t="str">
        <f>'CLASSIFICA ORDINATA'!R44</f>
        <v/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139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139" t="str">
        <f>'CLASSIFICA ORDINATA'!Z44</f>
        <v/>
      </c>
      <c r="AC45" s="140">
        <f>'CLASSIFICA ORDINATA'!AA44</f>
        <v>11</v>
      </c>
    </row>
    <row r="46" spans="1:29" ht="20" customHeight="1" x14ac:dyDescent="0.2">
      <c r="A46" s="131" t="s">
        <v>12</v>
      </c>
      <c r="B46" s="127" t="str">
        <f>'CLASSIFICA ORDINATA'!B45</f>
        <v>mirkozaffaron296</v>
      </c>
      <c r="C46" s="127" t="str">
        <f>VLOOKUP(B46,nomi!B:C,2,FALSE)</f>
        <v xml:space="preserve">GTRC-MIRKOZAFFA </v>
      </c>
      <c r="D46" s="127" t="str">
        <f>VLOOKUP(B46,nomi!B:G,6,FALSE)</f>
        <v>GTRC</v>
      </c>
      <c r="E46" s="12" t="str">
        <f>'CLASSIFICA ORDINATA'!C45</f>
        <v/>
      </c>
      <c r="F46" s="12">
        <f>'CLASSIFICA ORDINATA'!D45</f>
        <v>4</v>
      </c>
      <c r="G46" s="12" t="str">
        <f>'CLASSIFICA ORDINATA'!E45</f>
        <v/>
      </c>
      <c r="H46" s="139">
        <f>'CLASSIFICA ORDINATA'!F45</f>
        <v>4</v>
      </c>
      <c r="I46" s="12" t="str">
        <f>'CLASSIFICA ORDINATA'!G45</f>
        <v/>
      </c>
      <c r="J46" s="12">
        <f>'CLASSIFICA ORDINATA'!H45</f>
        <v>4</v>
      </c>
      <c r="K46" s="12" t="str">
        <f>'CLASSIFICA ORDINATA'!I45</f>
        <v/>
      </c>
      <c r="L46" s="139">
        <f>'CLASSIFICA ORDINATA'!J45</f>
        <v>4</v>
      </c>
      <c r="M46" s="12" t="str">
        <f>'CLASSIFICA ORDINATA'!K45</f>
        <v/>
      </c>
      <c r="N46" s="12" t="str">
        <f>'CLASSIFICA ORDINATA'!L45</f>
        <v/>
      </c>
      <c r="O46" s="12" t="str">
        <f>'CLASSIFICA ORDINATA'!M45</f>
        <v/>
      </c>
      <c r="P46" s="139" t="str">
        <f>'CLASSIFICA ORDINATA'!N45</f>
        <v/>
      </c>
      <c r="Q46" s="12" t="str">
        <f>'CLASSIFICA ORDINATA'!O45</f>
        <v/>
      </c>
      <c r="R46" s="12" t="str">
        <f>'CLASSIFICA ORDINATA'!P45</f>
        <v/>
      </c>
      <c r="S46" s="12" t="str">
        <f>'CLASSIFICA ORDINATA'!Q45</f>
        <v/>
      </c>
      <c r="T46" s="139" t="str">
        <f>'CLASSIFICA ORDINATA'!R45</f>
        <v/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139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139" t="str">
        <f>'CLASSIFICA ORDINATA'!Z45</f>
        <v/>
      </c>
      <c r="AC46" s="140">
        <f>'CLASSIFICA ORDINATA'!AA45</f>
        <v>8</v>
      </c>
    </row>
    <row r="47" spans="1:29" ht="20" customHeight="1" x14ac:dyDescent="0.2">
      <c r="A47" s="131" t="s">
        <v>13</v>
      </c>
      <c r="B47" s="127" t="str">
        <f>'CLASSIFICA ORDINATA'!B46</f>
        <v>TLM_CaLiGoLa</v>
      </c>
      <c r="C47" s="127" t="str">
        <f>VLOOKUP(B47,nomi!B:C,2,FALSE)</f>
        <v>TLM_CaLiGoLa</v>
      </c>
      <c r="D47" s="127" t="str">
        <f>VLOOKUP(B47,nomi!B:G,6,FALSE)</f>
        <v>TLM</v>
      </c>
      <c r="E47" s="12" t="str">
        <f>'CLASSIFICA ORDINATA'!C46</f>
        <v/>
      </c>
      <c r="F47" s="12">
        <f>'CLASSIFICA ORDINATA'!D46</f>
        <v>5</v>
      </c>
      <c r="G47" s="12" t="str">
        <f>'CLASSIFICA ORDINATA'!E46</f>
        <v/>
      </c>
      <c r="H47" s="139">
        <f>'CLASSIFICA ORDINATA'!F46</f>
        <v>5</v>
      </c>
      <c r="I47" s="12" t="str">
        <f>'CLASSIFICA ORDINATA'!G46</f>
        <v/>
      </c>
      <c r="J47" s="12" t="str">
        <f>'CLASSIFICA ORDINATA'!H46</f>
        <v/>
      </c>
      <c r="K47" s="12" t="str">
        <f>'CLASSIFICA ORDINATA'!I46</f>
        <v/>
      </c>
      <c r="L47" s="139" t="str">
        <f>'CLASSIFICA ORDINATA'!J46</f>
        <v/>
      </c>
      <c r="M47" s="12" t="str">
        <f>'CLASSIFICA ORDINATA'!K46</f>
        <v/>
      </c>
      <c r="N47" s="12" t="str">
        <f>'CLASSIFICA ORDINATA'!L46</f>
        <v/>
      </c>
      <c r="O47" s="12" t="str">
        <f>'CLASSIFICA ORDINATA'!M46</f>
        <v/>
      </c>
      <c r="P47" s="139" t="str">
        <f>'CLASSIFICA ORDINATA'!N46</f>
        <v/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139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139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139" t="str">
        <f>'CLASSIFICA ORDINATA'!Z46</f>
        <v/>
      </c>
      <c r="AC47" s="140">
        <f>'CLASSIFICA ORDINATA'!AA46</f>
        <v>5</v>
      </c>
    </row>
    <row r="48" spans="1:29" ht="20" customHeight="1" x14ac:dyDescent="0.2">
      <c r="A48" s="131" t="s">
        <v>20</v>
      </c>
      <c r="B48" s="127" t="str">
        <f>'CLASSIFICA ORDINATA'!B47</f>
        <v>Isnotacrime</v>
      </c>
      <c r="C48" s="127" t="str">
        <f>VLOOKUP(B48,nomi!B:C,2,FALSE)</f>
        <v xml:space="preserve">TLM isnotacrime </v>
      </c>
      <c r="D48" s="127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139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139" t="str">
        <f>'CLASSIFICA ORDINATA'!J47</f>
        <v/>
      </c>
      <c r="M48" s="12" t="str">
        <f>'CLASSIFICA ORDINATA'!K47</f>
        <v/>
      </c>
      <c r="N48" s="12" t="str">
        <f>'CLASSIFICA ORDINATA'!L47</f>
        <v/>
      </c>
      <c r="O48" s="12" t="str">
        <f>'CLASSIFICA ORDINATA'!M47</f>
        <v/>
      </c>
      <c r="P48" s="139" t="str">
        <f>'CLASSIFICA ORDINATA'!N47</f>
        <v/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139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139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139" t="str">
        <f>'CLASSIFICA ORDINATA'!Z47</f>
        <v/>
      </c>
      <c r="AC48" s="140">
        <f>'CLASSIFICA ORDINATA'!AA47</f>
        <v>3</v>
      </c>
    </row>
    <row r="49" spans="1:29" ht="20" customHeight="1" x14ac:dyDescent="0.2">
      <c r="A49" s="131" t="s">
        <v>21</v>
      </c>
      <c r="B49" s="127" t="str">
        <f>'CLASSIFICA ORDINATA'!B48</f>
        <v>Patanel86</v>
      </c>
      <c r="C49" s="127" t="str">
        <f>VLOOKUP(B49,nomi!B:C,2,FALSE)</f>
        <v>TLM_PataneL86</v>
      </c>
      <c r="D49" s="127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139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139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139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139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139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139" t="str">
        <f>'CLASSIFICA ORDINATA'!Z48</f>
        <v/>
      </c>
      <c r="AC49" s="140" t="str">
        <f>'CLASSIFICA ORDINATA'!AA48</f>
        <v/>
      </c>
    </row>
    <row r="50" spans="1:29" ht="20" customHeight="1" x14ac:dyDescent="0.2">
      <c r="A50" s="90" t="s">
        <v>50</v>
      </c>
      <c r="B50" s="103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128" t="s">
        <v>2</v>
      </c>
      <c r="B51" s="127" t="str">
        <f>'CLASSIFICA ORDINATA'!B50</f>
        <v>RMT _SILVERMAN-AC</v>
      </c>
      <c r="C51" s="127" t="str">
        <f>VLOOKUP(B51,nomi!B:C,2,FALSE)</f>
        <v>L.Silvestri</v>
      </c>
      <c r="D51" s="127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139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139">
        <f>'CLASSIFICA ORDINATA'!J50</f>
        <v>27</v>
      </c>
      <c r="M51" s="12" t="str">
        <f>'CLASSIFICA ORDINATA'!K50</f>
        <v/>
      </c>
      <c r="N51" s="12" t="str">
        <f>'CLASSIFICA ORDINATA'!L50</f>
        <v/>
      </c>
      <c r="O51" s="12" t="str">
        <f>'CLASSIFICA ORDINATA'!M50</f>
        <v/>
      </c>
      <c r="P51" s="139" t="str">
        <f>'CLASSIFICA ORDINATA'!N50</f>
        <v/>
      </c>
      <c r="Q51" s="12" t="str">
        <f>'CLASSIFICA ORDINATA'!O50</f>
        <v/>
      </c>
      <c r="R51" s="12" t="str">
        <f>'CLASSIFICA ORDINATA'!P50</f>
        <v/>
      </c>
      <c r="S51" s="12" t="str">
        <f>'CLASSIFICA ORDINATA'!Q50</f>
        <v/>
      </c>
      <c r="T51" s="139" t="str">
        <f>'CLASSIFICA ORDINATA'!R50</f>
        <v/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139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139" t="str">
        <f>'CLASSIFICA ORDINATA'!Z50</f>
        <v/>
      </c>
      <c r="AC51" s="140">
        <f>'CLASSIFICA ORDINATA'!AA50</f>
        <v>48</v>
      </c>
    </row>
    <row r="52" spans="1:29" ht="20" customHeight="1" x14ac:dyDescent="0.2">
      <c r="A52" s="129" t="s">
        <v>3</v>
      </c>
      <c r="B52" s="127" t="str">
        <f>'CLASSIFICA ORDINATA'!B51</f>
        <v>DRT-Mirkobenny85</v>
      </c>
      <c r="C52" s="127" t="str">
        <f>VLOOKUP(B52,nomi!B:C,2,FALSE)</f>
        <v>M.Bennardo</v>
      </c>
      <c r="D52" s="127" t="str">
        <f>VLOOKUP(B52,nomi!B:G,6,FALSE)</f>
        <v>DRT</v>
      </c>
      <c r="E52" s="12" t="str">
        <f>'CLASSIFICA ORDINATA'!C51</f>
        <v/>
      </c>
      <c r="F52" s="12">
        <f>'CLASSIFICA ORDINATA'!D51</f>
        <v>25</v>
      </c>
      <c r="G52" s="12" t="str">
        <f>'CLASSIFICA ORDINATA'!E51</f>
        <v/>
      </c>
      <c r="H52" s="139">
        <f>'CLASSIFICA ORDINATA'!F51</f>
        <v>25</v>
      </c>
      <c r="I52" s="12" t="str">
        <f>'CLASSIFICA ORDINATA'!G51</f>
        <v/>
      </c>
      <c r="J52" s="12">
        <f>'CLASSIFICA ORDINATA'!H51</f>
        <v>16</v>
      </c>
      <c r="K52" s="12" t="str">
        <f>'CLASSIFICA ORDINATA'!I51</f>
        <v/>
      </c>
      <c r="L52" s="139">
        <f>'CLASSIFICA ORDINATA'!J51</f>
        <v>16</v>
      </c>
      <c r="M52" s="12" t="str">
        <f>'CLASSIFICA ORDINATA'!K51</f>
        <v/>
      </c>
      <c r="N52" s="12" t="str">
        <f>'CLASSIFICA ORDINATA'!L51</f>
        <v/>
      </c>
      <c r="O52" s="12" t="str">
        <f>'CLASSIFICA ORDINATA'!M51</f>
        <v/>
      </c>
      <c r="P52" s="139" t="str">
        <f>'CLASSIFICA ORDINATA'!N51</f>
        <v/>
      </c>
      <c r="Q52" s="12" t="str">
        <f>'CLASSIFICA ORDINATA'!O51</f>
        <v/>
      </c>
      <c r="R52" s="12" t="str">
        <f>'CLASSIFICA ORDINATA'!P51</f>
        <v/>
      </c>
      <c r="S52" s="12" t="str">
        <f>'CLASSIFICA ORDINATA'!Q51</f>
        <v/>
      </c>
      <c r="T52" s="139" t="str">
        <f>'CLASSIFICA ORDINATA'!R51</f>
        <v/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139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139" t="str">
        <f>'CLASSIFICA ORDINATA'!Z51</f>
        <v/>
      </c>
      <c r="AC52" s="140">
        <f>'CLASSIFICA ORDINATA'!AA51</f>
        <v>41</v>
      </c>
    </row>
    <row r="53" spans="1:29" ht="20" customHeight="1" x14ac:dyDescent="0.2">
      <c r="A53" s="130" t="s">
        <v>4</v>
      </c>
      <c r="B53" s="127" t="str">
        <f>'CLASSIFICA ORDINATA'!B52</f>
        <v>Parenji</v>
      </c>
      <c r="C53" s="127" t="str">
        <f>VLOOKUP(B53,nomi!B:C,2,FALSE)</f>
        <v>TLM_Parenti</v>
      </c>
      <c r="D53" s="127" t="str">
        <f>VLOOKUP(B53,nomi!B:G,6,FALSE)</f>
        <v>TLM</v>
      </c>
      <c r="E53" s="12" t="str">
        <f>'CLASSIFICA ORDINATA'!C52</f>
        <v/>
      </c>
      <c r="F53" s="12">
        <f>'CLASSIFICA ORDINATA'!D52</f>
        <v>14</v>
      </c>
      <c r="G53" s="12" t="str">
        <f>'CLASSIFICA ORDINATA'!E52</f>
        <v/>
      </c>
      <c r="H53" s="139">
        <f>'CLASSIFICA ORDINATA'!F52</f>
        <v>14</v>
      </c>
      <c r="I53" s="12" t="str">
        <f>'CLASSIFICA ORDINATA'!G52</f>
        <v/>
      </c>
      <c r="J53" s="12">
        <f>'CLASSIFICA ORDINATA'!H52</f>
        <v>18</v>
      </c>
      <c r="K53" s="12" t="str">
        <f>'CLASSIFICA ORDINATA'!I52</f>
        <v/>
      </c>
      <c r="L53" s="139">
        <f>'CLASSIFICA ORDINATA'!J52</f>
        <v>18</v>
      </c>
      <c r="M53" s="12" t="str">
        <f>'CLASSIFICA ORDINATA'!K52</f>
        <v/>
      </c>
      <c r="N53" s="12" t="str">
        <f>'CLASSIFICA ORDINATA'!L52</f>
        <v/>
      </c>
      <c r="O53" s="12" t="str">
        <f>'CLASSIFICA ORDINATA'!M52</f>
        <v/>
      </c>
      <c r="P53" s="139" t="str">
        <f>'CLASSIFICA ORDINATA'!N52</f>
        <v/>
      </c>
      <c r="Q53" s="12" t="str">
        <f>'CLASSIFICA ORDINATA'!O52</f>
        <v/>
      </c>
      <c r="R53" s="12" t="str">
        <f>'CLASSIFICA ORDINATA'!P52</f>
        <v/>
      </c>
      <c r="S53" s="12" t="str">
        <f>'CLASSIFICA ORDINATA'!Q52</f>
        <v/>
      </c>
      <c r="T53" s="139" t="str">
        <f>'CLASSIFICA ORDINATA'!R52</f>
        <v/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139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139" t="str">
        <f>'CLASSIFICA ORDINATA'!Z52</f>
        <v/>
      </c>
      <c r="AC53" s="140">
        <f>'CLASSIFICA ORDINATA'!AA52</f>
        <v>32</v>
      </c>
    </row>
    <row r="54" spans="1:29" ht="20" customHeight="1" x14ac:dyDescent="0.2">
      <c r="A54" s="131" t="s">
        <v>5</v>
      </c>
      <c r="B54" s="127" t="str">
        <f>'CLASSIFICA ORDINATA'!B53</f>
        <v>X-Gianni-</v>
      </c>
      <c r="C54" s="127" t="str">
        <f>VLOOKUP(B54,nomi!B:C,2,FALSE)</f>
        <v>GTRC-X-Gianni-</v>
      </c>
      <c r="D54" s="127" t="str">
        <f>VLOOKUP(B54,nomi!B:G,6,FALSE)</f>
        <v>GTRC</v>
      </c>
      <c r="E54" s="12" t="str">
        <f>'CLASSIFICA ORDINATA'!C53</f>
        <v/>
      </c>
      <c r="F54" s="12">
        <f>'CLASSIFICA ORDINATA'!D53</f>
        <v>18</v>
      </c>
      <c r="G54" s="12" t="str">
        <f>'CLASSIFICA ORDINATA'!E53</f>
        <v/>
      </c>
      <c r="H54" s="139">
        <f>'CLASSIFICA ORDINATA'!F53</f>
        <v>18</v>
      </c>
      <c r="I54" s="12" t="str">
        <f>'CLASSIFICA ORDINATA'!G53</f>
        <v/>
      </c>
      <c r="J54" s="12">
        <f>'CLASSIFICA ORDINATA'!H53</f>
        <v>12</v>
      </c>
      <c r="K54" s="12" t="str">
        <f>'CLASSIFICA ORDINATA'!I53</f>
        <v/>
      </c>
      <c r="L54" s="139">
        <f>'CLASSIFICA ORDINATA'!J53</f>
        <v>12</v>
      </c>
      <c r="M54" s="12" t="str">
        <f>'CLASSIFICA ORDINATA'!K53</f>
        <v/>
      </c>
      <c r="N54" s="12" t="str">
        <f>'CLASSIFICA ORDINATA'!L53</f>
        <v/>
      </c>
      <c r="O54" s="12" t="str">
        <f>'CLASSIFICA ORDINATA'!M53</f>
        <v/>
      </c>
      <c r="P54" s="139" t="str">
        <f>'CLASSIFICA ORDINATA'!N53</f>
        <v/>
      </c>
      <c r="Q54" s="12" t="str">
        <f>'CLASSIFICA ORDINATA'!O53</f>
        <v/>
      </c>
      <c r="R54" s="12" t="str">
        <f>'CLASSIFICA ORDINATA'!P53</f>
        <v/>
      </c>
      <c r="S54" s="12" t="str">
        <f>'CLASSIFICA ORDINATA'!Q53</f>
        <v/>
      </c>
      <c r="T54" s="139" t="str">
        <f>'CLASSIFICA ORDINATA'!R53</f>
        <v/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139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139" t="str">
        <f>'CLASSIFICA ORDINATA'!Z53</f>
        <v/>
      </c>
      <c r="AC54" s="140">
        <f>'CLASSIFICA ORDINATA'!AA53</f>
        <v>30</v>
      </c>
    </row>
    <row r="55" spans="1:29" ht="20" customHeight="1" x14ac:dyDescent="0.2">
      <c r="A55" s="131" t="s">
        <v>6</v>
      </c>
      <c r="B55" s="127" t="str">
        <f>'CLASSIFICA ORDINATA'!B54</f>
        <v>Mikedb__91__</v>
      </c>
      <c r="C55" s="127" t="str">
        <f>VLOOKUP(B55,nomi!B:C,2,FALSE)</f>
        <v>TLM-Mike91</v>
      </c>
      <c r="D55" s="127" t="str">
        <f>VLOOKUP(B55,nomi!B:G,6,FALSE)</f>
        <v>TLM</v>
      </c>
      <c r="E55" s="12" t="str">
        <f>'CLASSIFICA ORDINATA'!C54</f>
        <v/>
      </c>
      <c r="F55" s="12">
        <f>'CLASSIFICA ORDINATA'!D54</f>
        <v>12</v>
      </c>
      <c r="G55" s="12" t="str">
        <f>'CLASSIFICA ORDINATA'!E54</f>
        <v/>
      </c>
      <c r="H55" s="139">
        <f>'CLASSIFICA ORDINATA'!F54</f>
        <v>12</v>
      </c>
      <c r="I55" s="12" t="str">
        <f>'CLASSIFICA ORDINATA'!G54</f>
        <v/>
      </c>
      <c r="J55" s="12">
        <f>'CLASSIFICA ORDINATA'!H54</f>
        <v>14</v>
      </c>
      <c r="K55" s="12" t="str">
        <f>'CLASSIFICA ORDINATA'!I54</f>
        <v/>
      </c>
      <c r="L55" s="139">
        <f>'CLASSIFICA ORDINATA'!J54</f>
        <v>14</v>
      </c>
      <c r="M55" s="12" t="str">
        <f>'CLASSIFICA ORDINATA'!K54</f>
        <v/>
      </c>
      <c r="N55" s="12" t="str">
        <f>'CLASSIFICA ORDINATA'!L54</f>
        <v/>
      </c>
      <c r="O55" s="12" t="str">
        <f>'CLASSIFICA ORDINATA'!M54</f>
        <v/>
      </c>
      <c r="P55" s="139" t="str">
        <f>'CLASSIFICA ORDINATA'!N54</f>
        <v/>
      </c>
      <c r="Q55" s="12" t="str">
        <f>'CLASSIFICA ORDINATA'!O54</f>
        <v/>
      </c>
      <c r="R55" s="12" t="str">
        <f>'CLASSIFICA ORDINATA'!P54</f>
        <v/>
      </c>
      <c r="S55" s="12" t="str">
        <f>'CLASSIFICA ORDINATA'!Q54</f>
        <v/>
      </c>
      <c r="T55" s="139" t="str">
        <f>'CLASSIFICA ORDINATA'!R54</f>
        <v/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139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139" t="str">
        <f>'CLASSIFICA ORDINATA'!Z54</f>
        <v/>
      </c>
      <c r="AC55" s="140">
        <f>'CLASSIFICA ORDINATA'!AA54</f>
        <v>26</v>
      </c>
    </row>
    <row r="56" spans="1:29" ht="20" customHeight="1" x14ac:dyDescent="0.2">
      <c r="A56" s="131" t="s">
        <v>7</v>
      </c>
      <c r="B56" s="127" t="str">
        <f>'CLASSIFICA ORDINATA'!B55</f>
        <v>Pennysss71</v>
      </c>
      <c r="C56" s="127" t="str">
        <f>VLOOKUP(B56,nomi!B:C,2,FALSE)</f>
        <v>D.Apicella</v>
      </c>
      <c r="D56" s="127" t="str">
        <f>VLOOKUP(B56,nomi!B:G,6,FALSE)</f>
        <v>RMT</v>
      </c>
      <c r="E56" s="12" t="str">
        <f>'CLASSIFICA ORDINATA'!C55</f>
        <v/>
      </c>
      <c r="F56" s="12" t="str">
        <f>'CLASSIFICA ORDINATA'!D55</f>
        <v/>
      </c>
      <c r="G56" s="12" t="str">
        <f>'CLASSIFICA ORDINATA'!E55</f>
        <v/>
      </c>
      <c r="H56" s="139" t="str">
        <f>'CLASSIFICA ORDINATA'!F55</f>
        <v/>
      </c>
      <c r="I56" s="12" t="str">
        <f>'CLASSIFICA ORDINATA'!G55</f>
        <v/>
      </c>
      <c r="J56" s="12">
        <f>'CLASSIFICA ORDINATA'!H55</f>
        <v>20</v>
      </c>
      <c r="K56" s="12" t="str">
        <f>'CLASSIFICA ORDINATA'!I55</f>
        <v/>
      </c>
      <c r="L56" s="139">
        <f>'CLASSIFICA ORDINATA'!J55</f>
        <v>20</v>
      </c>
      <c r="M56" s="12" t="str">
        <f>'CLASSIFICA ORDINATA'!K55</f>
        <v/>
      </c>
      <c r="N56" s="12" t="str">
        <f>'CLASSIFICA ORDINATA'!L55</f>
        <v/>
      </c>
      <c r="O56" s="12" t="str">
        <f>'CLASSIFICA ORDINATA'!M55</f>
        <v/>
      </c>
      <c r="P56" s="139" t="str">
        <f>'CLASSIFICA ORDINATA'!N55</f>
        <v/>
      </c>
      <c r="Q56" s="12" t="str">
        <f>'CLASSIFICA ORDINATA'!O55</f>
        <v/>
      </c>
      <c r="R56" s="12" t="str">
        <f>'CLASSIFICA ORDINATA'!P55</f>
        <v/>
      </c>
      <c r="S56" s="12" t="str">
        <f>'CLASSIFICA ORDINATA'!Q55</f>
        <v/>
      </c>
      <c r="T56" s="139" t="str">
        <f>'CLASSIFICA ORDINATA'!R55</f>
        <v/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139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139" t="str">
        <f>'CLASSIFICA ORDINATA'!Z55</f>
        <v/>
      </c>
      <c r="AC56" s="140">
        <f>'CLASSIFICA ORDINATA'!AA55</f>
        <v>20</v>
      </c>
    </row>
    <row r="57" spans="1:29" ht="20" customHeight="1" x14ac:dyDescent="0.2">
      <c r="A57" s="131" t="s">
        <v>8</v>
      </c>
      <c r="B57" s="127" t="str">
        <f>'CLASSIFICA ORDINATA'!B56</f>
        <v>Tonyroto74</v>
      </c>
      <c r="C57" s="127" t="str">
        <f>VLOOKUP(B57,nomi!B:C,2,FALSE)</f>
        <v>Tonyroto</v>
      </c>
      <c r="D57" s="127" t="str">
        <f>VLOOKUP(B57,nomi!B:G,6,FALSE)</f>
        <v>TLM</v>
      </c>
      <c r="E57" s="12" t="str">
        <f>'CLASSIFICA ORDINATA'!C56</f>
        <v/>
      </c>
      <c r="F57" s="12">
        <f>'CLASSIFICA ORDINATA'!D56</f>
        <v>10</v>
      </c>
      <c r="G57" s="12" t="str">
        <f>'CLASSIFICA ORDINATA'!E56</f>
        <v/>
      </c>
      <c r="H57" s="139">
        <f>'CLASSIFICA ORDINATA'!F56</f>
        <v>10</v>
      </c>
      <c r="I57" s="12" t="str">
        <f>'CLASSIFICA ORDINATA'!G56</f>
        <v/>
      </c>
      <c r="J57" s="12">
        <f>'CLASSIFICA ORDINATA'!H56</f>
        <v>10</v>
      </c>
      <c r="K57" s="12" t="str">
        <f>'CLASSIFICA ORDINATA'!I56</f>
        <v/>
      </c>
      <c r="L57" s="139">
        <f>'CLASSIFICA ORDINATA'!J56</f>
        <v>10</v>
      </c>
      <c r="M57" s="12" t="str">
        <f>'CLASSIFICA ORDINATA'!K56</f>
        <v/>
      </c>
      <c r="N57" s="12" t="str">
        <f>'CLASSIFICA ORDINATA'!L56</f>
        <v/>
      </c>
      <c r="O57" s="12" t="str">
        <f>'CLASSIFICA ORDINATA'!M56</f>
        <v/>
      </c>
      <c r="P57" s="139" t="str">
        <f>'CLASSIFICA ORDINATA'!N56</f>
        <v/>
      </c>
      <c r="Q57" s="12" t="str">
        <f>'CLASSIFICA ORDINATA'!O56</f>
        <v/>
      </c>
      <c r="R57" s="12" t="str">
        <f>'CLASSIFICA ORDINATA'!P56</f>
        <v/>
      </c>
      <c r="S57" s="12" t="str">
        <f>'CLASSIFICA ORDINATA'!Q56</f>
        <v/>
      </c>
      <c r="T57" s="139" t="str">
        <f>'CLASSIFICA ORDINATA'!R56</f>
        <v/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139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139" t="str">
        <f>'CLASSIFICA ORDINATA'!Z56</f>
        <v/>
      </c>
      <c r="AC57" s="140">
        <f>'CLASSIFICA ORDINATA'!AA56</f>
        <v>20</v>
      </c>
    </row>
    <row r="58" spans="1:29" ht="20" customHeight="1" x14ac:dyDescent="0.2">
      <c r="A58" s="131" t="s">
        <v>9</v>
      </c>
      <c r="B58" s="127" t="str">
        <f>'CLASSIFICA ORDINATA'!B57</f>
        <v>Silentium884</v>
      </c>
      <c r="C58" s="127" t="str">
        <f>VLOOKUP(B58,nomi!B:C,2,FALSE)</f>
        <v>TLM_Sile</v>
      </c>
      <c r="D58" s="127" t="str">
        <f>VLOOKUP(B58,nomi!B:G,6,FALSE)</f>
        <v>TLM</v>
      </c>
      <c r="E58" s="12" t="str">
        <f>'CLASSIFICA ORDINATA'!C57</f>
        <v/>
      </c>
      <c r="F58" s="12">
        <f>'CLASSIFICA ORDINATA'!D57</f>
        <v>16</v>
      </c>
      <c r="G58" s="12" t="str">
        <f>'CLASSIFICA ORDINATA'!E57</f>
        <v/>
      </c>
      <c r="H58" s="139">
        <f>'CLASSIFICA ORDINATA'!F57</f>
        <v>16</v>
      </c>
      <c r="I58" s="12" t="str">
        <f>'CLASSIFICA ORDINATA'!G57</f>
        <v/>
      </c>
      <c r="J58" s="12" t="str">
        <f>'CLASSIFICA ORDINATA'!H57</f>
        <v/>
      </c>
      <c r="K58" s="12" t="str">
        <f>'CLASSIFICA ORDINATA'!I57</f>
        <v/>
      </c>
      <c r="L58" s="139" t="str">
        <f>'CLASSIFICA ORDINATA'!J57</f>
        <v/>
      </c>
      <c r="M58" s="12" t="str">
        <f>'CLASSIFICA ORDINATA'!K57</f>
        <v/>
      </c>
      <c r="N58" s="12" t="str">
        <f>'CLASSIFICA ORDINATA'!L57</f>
        <v/>
      </c>
      <c r="O58" s="12" t="str">
        <f>'CLASSIFICA ORDINATA'!M57</f>
        <v/>
      </c>
      <c r="P58" s="139" t="str">
        <f>'CLASSIFICA ORDINATA'!N57</f>
        <v/>
      </c>
      <c r="Q58" s="12" t="str">
        <f>'CLASSIFICA ORDINATA'!O57</f>
        <v/>
      </c>
      <c r="R58" s="12" t="str">
        <f>'CLASSIFICA ORDINATA'!P57</f>
        <v/>
      </c>
      <c r="S58" s="12" t="str">
        <f>'CLASSIFICA ORDINATA'!Q57</f>
        <v/>
      </c>
      <c r="T58" s="139" t="str">
        <f>'CLASSIFICA ORDINATA'!R57</f>
        <v/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139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139" t="str">
        <f>'CLASSIFICA ORDINATA'!Z57</f>
        <v/>
      </c>
      <c r="AC58" s="140">
        <f>'CLASSIFICA ORDINATA'!AA57</f>
        <v>16</v>
      </c>
    </row>
    <row r="59" spans="1:29" ht="20" customHeight="1" x14ac:dyDescent="0.2">
      <c r="A59" s="131" t="s">
        <v>10</v>
      </c>
      <c r="B59" s="127" t="str">
        <f>'CLASSIFICA ORDINATA'!B58</f>
        <v>Dani_CT1946</v>
      </c>
      <c r="C59" s="127" t="str">
        <f>VLOOKUP(B59,nomi!B:C,2,FALSE)</f>
        <v>Danict1946</v>
      </c>
      <c r="D59" s="127" t="str">
        <f>VLOOKUP(B59,nomi!B:G,6,FALSE)</f>
        <v>CSC</v>
      </c>
      <c r="E59" s="12" t="str">
        <f>'CLASSIFICA ORDINATA'!C58</f>
        <v/>
      </c>
      <c r="F59" s="12">
        <f>'CLASSIFICA ORDINATA'!D58</f>
        <v>8</v>
      </c>
      <c r="G59" s="12" t="str">
        <f>'CLASSIFICA ORDINATA'!E58</f>
        <v/>
      </c>
      <c r="H59" s="139">
        <f>'CLASSIFICA ORDINATA'!F58</f>
        <v>8</v>
      </c>
      <c r="I59" s="12" t="str">
        <f>'CLASSIFICA ORDINATA'!G58</f>
        <v/>
      </c>
      <c r="J59" s="12">
        <f>'CLASSIFICA ORDINATA'!H58</f>
        <v>8</v>
      </c>
      <c r="K59" s="12" t="str">
        <f>'CLASSIFICA ORDINATA'!I58</f>
        <v/>
      </c>
      <c r="L59" s="139">
        <f>'CLASSIFICA ORDINATA'!J58</f>
        <v>8</v>
      </c>
      <c r="M59" s="12" t="str">
        <f>'CLASSIFICA ORDINATA'!K58</f>
        <v/>
      </c>
      <c r="N59" s="12" t="str">
        <f>'CLASSIFICA ORDINATA'!L58</f>
        <v/>
      </c>
      <c r="O59" s="12" t="str">
        <f>'CLASSIFICA ORDINATA'!M58</f>
        <v/>
      </c>
      <c r="P59" s="139" t="str">
        <f>'CLASSIFICA ORDINATA'!N58</f>
        <v/>
      </c>
      <c r="Q59" s="12" t="str">
        <f>'CLASSIFICA ORDINATA'!O58</f>
        <v/>
      </c>
      <c r="R59" s="12" t="str">
        <f>'CLASSIFICA ORDINATA'!P58</f>
        <v/>
      </c>
      <c r="S59" s="12" t="str">
        <f>'CLASSIFICA ORDINATA'!Q58</f>
        <v/>
      </c>
      <c r="T59" s="139" t="str">
        <f>'CLASSIFICA ORDINATA'!R58</f>
        <v/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139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139" t="str">
        <f>'CLASSIFICA ORDINATA'!Z58</f>
        <v/>
      </c>
      <c r="AC59" s="140">
        <f>'CLASSIFICA ORDINATA'!AA58</f>
        <v>16</v>
      </c>
    </row>
    <row r="60" spans="1:29" ht="20" customHeight="1" x14ac:dyDescent="0.2">
      <c r="A60" s="131" t="s">
        <v>11</v>
      </c>
      <c r="B60" s="127" t="str">
        <f>'CLASSIFICA ORDINATA'!B59</f>
        <v>Dimaaa66</v>
      </c>
      <c r="C60" s="127" t="str">
        <f>VLOOKUP(B60,nomi!B:C,2,FALSE)</f>
        <v>Dimaaa66</v>
      </c>
      <c r="D60" s="127" t="str">
        <f>VLOOKUP(B60,nomi!B:G,6,FALSE)</f>
        <v>TLM</v>
      </c>
      <c r="E60" s="12" t="str">
        <f>'CLASSIFICA ORDINATA'!C59</f>
        <v/>
      </c>
      <c r="F60" s="12">
        <f>'CLASSIFICA ORDINATA'!D59</f>
        <v>6</v>
      </c>
      <c r="G60" s="12" t="str">
        <f>'CLASSIFICA ORDINATA'!E59</f>
        <v/>
      </c>
      <c r="H60" s="139">
        <f>'CLASSIFICA ORDINATA'!F59</f>
        <v>6</v>
      </c>
      <c r="I60" s="12" t="str">
        <f>'CLASSIFICA ORDINATA'!G59</f>
        <v/>
      </c>
      <c r="J60" s="12">
        <f>'CLASSIFICA ORDINATA'!H59</f>
        <v>4</v>
      </c>
      <c r="K60" s="12" t="str">
        <f>'CLASSIFICA ORDINATA'!I59</f>
        <v/>
      </c>
      <c r="L60" s="139">
        <f>'CLASSIFICA ORDINATA'!J59</f>
        <v>4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139" t="str">
        <f>'CLASSIFICA ORDINATA'!N59</f>
        <v/>
      </c>
      <c r="Q60" s="12" t="str">
        <f>'CLASSIFICA ORDINATA'!O59</f>
        <v/>
      </c>
      <c r="R60" s="12" t="str">
        <f>'CLASSIFICA ORDINATA'!P59</f>
        <v/>
      </c>
      <c r="S60" s="12" t="str">
        <f>'CLASSIFICA ORDINATA'!Q59</f>
        <v/>
      </c>
      <c r="T60" s="139" t="str">
        <f>'CLASSIFICA ORDINATA'!R59</f>
        <v/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139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139" t="str">
        <f>'CLASSIFICA ORDINATA'!Z59</f>
        <v/>
      </c>
      <c r="AC60" s="140">
        <f>'CLASSIFICA ORDINATA'!AA59</f>
        <v>10</v>
      </c>
    </row>
    <row r="61" spans="1:29" ht="20" customHeight="1" x14ac:dyDescent="0.2">
      <c r="A61" s="131" t="s">
        <v>12</v>
      </c>
      <c r="B61" s="127" t="str">
        <f>'CLASSIFICA ORDINATA'!B60</f>
        <v>recidivo92</v>
      </c>
      <c r="C61" s="127" t="str">
        <f>VLOOKUP(B61,nomi!B:C,2,FALSE)</f>
        <v>ReciDivo92</v>
      </c>
      <c r="D61" s="127" t="str">
        <f>VLOOKUP(B61,nomi!B:G,6,FALSE)</f>
        <v>TLMA</v>
      </c>
      <c r="E61" s="12" t="str">
        <f>'CLASSIFICA ORDINATA'!C60</f>
        <v/>
      </c>
      <c r="F61" s="12">
        <f>'CLASSIFICA ORDINATA'!D60</f>
        <v>3</v>
      </c>
      <c r="G61" s="12" t="str">
        <f>'CLASSIFICA ORDINATA'!E60</f>
        <v/>
      </c>
      <c r="H61" s="139">
        <f>'CLASSIFICA ORDINATA'!F60</f>
        <v>3</v>
      </c>
      <c r="I61" s="12" t="str">
        <f>'CLASSIFICA ORDINATA'!G60</f>
        <v/>
      </c>
      <c r="J61" s="12">
        <f>'CLASSIFICA ORDINATA'!H60</f>
        <v>6</v>
      </c>
      <c r="K61" s="12" t="str">
        <f>'CLASSIFICA ORDINATA'!I60</f>
        <v/>
      </c>
      <c r="L61" s="139">
        <f>'CLASSIFICA ORDINATA'!J60</f>
        <v>6</v>
      </c>
      <c r="M61" s="12" t="str">
        <f>'CLASSIFICA ORDINATA'!K60</f>
        <v/>
      </c>
      <c r="N61" s="12" t="str">
        <f>'CLASSIFICA ORDINATA'!L60</f>
        <v/>
      </c>
      <c r="O61" s="12" t="str">
        <f>'CLASSIFICA ORDINATA'!M60</f>
        <v/>
      </c>
      <c r="P61" s="139" t="str">
        <f>'CLASSIFICA ORDINATA'!N60</f>
        <v/>
      </c>
      <c r="Q61" s="12" t="str">
        <f>'CLASSIFICA ORDINATA'!O60</f>
        <v/>
      </c>
      <c r="R61" s="12" t="str">
        <f>'CLASSIFICA ORDINATA'!P60</f>
        <v/>
      </c>
      <c r="S61" s="12" t="str">
        <f>'CLASSIFICA ORDINATA'!Q60</f>
        <v/>
      </c>
      <c r="T61" s="139" t="str">
        <f>'CLASSIFICA ORDINATA'!R60</f>
        <v/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139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139" t="str">
        <f>'CLASSIFICA ORDINATA'!Z60</f>
        <v/>
      </c>
      <c r="AC61" s="140">
        <f>'CLASSIFICA ORDINATA'!AA60</f>
        <v>9</v>
      </c>
    </row>
    <row r="62" spans="1:29" ht="20" customHeight="1" x14ac:dyDescent="0.2">
      <c r="A62" s="131" t="s">
        <v>13</v>
      </c>
      <c r="B62" s="127" t="str">
        <f>'CLASSIFICA ORDINATA'!B61</f>
        <v>mettiukc</v>
      </c>
      <c r="C62" s="127" t="str">
        <f>VLOOKUP(B62,nomi!B:C,2,FALSE)</f>
        <v>mettiukc</v>
      </c>
      <c r="D62" s="127" t="str">
        <f>VLOOKUP(B62,nomi!B:G,6,FALSE)</f>
        <v>TLMA</v>
      </c>
      <c r="E62" s="12" t="str">
        <f>'CLASSIFICA ORDINATA'!C61</f>
        <v/>
      </c>
      <c r="F62" s="12">
        <f>'CLASSIFICA ORDINATA'!D61</f>
        <v>5</v>
      </c>
      <c r="G62" s="12" t="str">
        <f>'CLASSIFICA ORDINATA'!E61</f>
        <v/>
      </c>
      <c r="H62" s="139">
        <f>'CLASSIFICA ORDINATA'!F61</f>
        <v>5</v>
      </c>
      <c r="I62" s="12" t="str">
        <f>'CLASSIFICA ORDINATA'!G61</f>
        <v/>
      </c>
      <c r="J62" s="12">
        <f>'CLASSIFICA ORDINATA'!H61</f>
        <v>3</v>
      </c>
      <c r="K62" s="12" t="str">
        <f>'CLASSIFICA ORDINATA'!I61</f>
        <v/>
      </c>
      <c r="L62" s="139">
        <f>'CLASSIFICA ORDINATA'!J61</f>
        <v>3</v>
      </c>
      <c r="M62" s="12" t="str">
        <f>'CLASSIFICA ORDINATA'!K61</f>
        <v/>
      </c>
      <c r="N62" s="12" t="str">
        <f>'CLASSIFICA ORDINATA'!L61</f>
        <v/>
      </c>
      <c r="O62" s="12" t="str">
        <f>'CLASSIFICA ORDINATA'!M61</f>
        <v/>
      </c>
      <c r="P62" s="139" t="str">
        <f>'CLASSIFICA ORDINATA'!N61</f>
        <v/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139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139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139" t="str">
        <f>'CLASSIFICA ORDINATA'!Z61</f>
        <v/>
      </c>
      <c r="AC62" s="140">
        <f>'CLASSIFICA ORDINATA'!AA61</f>
        <v>8</v>
      </c>
    </row>
    <row r="63" spans="1:29" ht="20" customHeight="1" x14ac:dyDescent="0.2">
      <c r="A63" s="131" t="s">
        <v>20</v>
      </c>
      <c r="B63" s="127" t="str">
        <f>'CLASSIFICA ORDINATA'!B62</f>
        <v>Rikas78</v>
      </c>
      <c r="C63" s="127" t="str">
        <f>VLOOKUP(B63,nomi!B:C,2,FALSE)</f>
        <v>Rikas78</v>
      </c>
      <c r="D63" s="127" t="str">
        <f>VLOOKUP(B63,nomi!B:G,6,FALSE)</f>
        <v>TLMA</v>
      </c>
      <c r="E63" s="12" t="str">
        <f>'CLASSIFICA ORDINATA'!C62</f>
        <v/>
      </c>
      <c r="F63" s="12">
        <f>'CLASSIFICA ORDINATA'!D62</f>
        <v>2</v>
      </c>
      <c r="G63" s="12" t="str">
        <f>'CLASSIFICA ORDINATA'!E62</f>
        <v/>
      </c>
      <c r="H63" s="139">
        <f>'CLASSIFICA ORDINATA'!F62</f>
        <v>2</v>
      </c>
      <c r="I63" s="12" t="str">
        <f>'CLASSIFICA ORDINATA'!G62</f>
        <v/>
      </c>
      <c r="J63" s="12">
        <f>'CLASSIFICA ORDINATA'!H62</f>
        <v>5</v>
      </c>
      <c r="K63" s="12" t="str">
        <f>'CLASSIFICA ORDINATA'!I62</f>
        <v/>
      </c>
      <c r="L63" s="139">
        <f>'CLASSIFICA ORDINATA'!J62</f>
        <v>5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139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139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139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139" t="str">
        <f>'CLASSIFICA ORDINATA'!Z62</f>
        <v/>
      </c>
      <c r="AC63" s="140">
        <f>'CLASSIFICA ORDINATA'!AA62</f>
        <v>7</v>
      </c>
    </row>
    <row r="64" spans="1:29" ht="20" customHeight="1" x14ac:dyDescent="0.2">
      <c r="A64" s="131" t="s">
        <v>21</v>
      </c>
      <c r="B64" s="127" t="str">
        <f>'CLASSIFICA ORDINATA'!B63</f>
        <v>Costanzo-Mirko90</v>
      </c>
      <c r="C64" s="127" t="str">
        <f>VLOOKUP(B64,nomi!B:C,2,FALSE)</f>
        <v>GTRC M. Costanzo</v>
      </c>
      <c r="D64" s="127" t="str">
        <f>VLOOKUP(B64,nomi!B:G,6,FALSE)</f>
        <v>GTRC</v>
      </c>
      <c r="E64" s="12" t="str">
        <f>'CLASSIFICA ORDINATA'!C63</f>
        <v/>
      </c>
      <c r="F64" s="12">
        <f>'CLASSIFICA ORDINATA'!D63</f>
        <v>4</v>
      </c>
      <c r="G64" s="12" t="str">
        <f>'CLASSIFICA ORDINATA'!E63</f>
        <v/>
      </c>
      <c r="H64" s="139">
        <f>'CLASSIFICA ORDINATA'!F63</f>
        <v>4</v>
      </c>
      <c r="I64" s="12" t="str">
        <f>'CLASSIFICA ORDINATA'!G63</f>
        <v/>
      </c>
      <c r="J64" s="12">
        <f>'CLASSIFICA ORDINATA'!H63</f>
        <v>2</v>
      </c>
      <c r="K64" s="12" t="str">
        <f>'CLASSIFICA ORDINATA'!I63</f>
        <v/>
      </c>
      <c r="L64" s="139">
        <f>'CLASSIFICA ORDINATA'!J63</f>
        <v>2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139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139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139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139" t="str">
        <f>'CLASSIFICA ORDINATA'!Z63</f>
        <v/>
      </c>
      <c r="AC64" s="140">
        <f>'CLASSIFICA ORDINATA'!AA63</f>
        <v>6</v>
      </c>
    </row>
    <row r="65" spans="1:29" ht="20" customHeight="1" x14ac:dyDescent="0.2">
      <c r="A65" s="141"/>
      <c r="B65" s="142"/>
      <c r="C65" s="142"/>
      <c r="D65" s="142"/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</row>
    <row r="66" spans="1:29" ht="20" customHeight="1" x14ac:dyDescent="0.2">
      <c r="A66" s="141"/>
      <c r="B66" s="142"/>
      <c r="C66" s="142"/>
      <c r="D66" s="142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</row>
    <row r="67" spans="1:29" ht="20" customHeight="1" x14ac:dyDescent="0.2">
      <c r="A67" s="99" t="s">
        <v>42</v>
      </c>
      <c r="B67" s="108"/>
      <c r="C67" s="100"/>
      <c r="D67" s="75"/>
      <c r="E67" s="95" t="s">
        <v>46</v>
      </c>
      <c r="F67" s="96"/>
      <c r="G67" s="96"/>
      <c r="H67" s="97"/>
      <c r="I67" s="95" t="s">
        <v>40</v>
      </c>
      <c r="J67" s="96"/>
      <c r="K67" s="96"/>
      <c r="L67" s="97"/>
      <c r="M67" s="95" t="s">
        <v>47</v>
      </c>
      <c r="N67" s="96"/>
      <c r="O67" s="96"/>
      <c r="P67" s="97"/>
      <c r="Q67" s="95" t="s">
        <v>39</v>
      </c>
      <c r="R67" s="96"/>
      <c r="S67" s="96"/>
      <c r="T67" s="97"/>
      <c r="U67" s="95" t="s">
        <v>41</v>
      </c>
      <c r="V67" s="96"/>
      <c r="W67" s="96"/>
      <c r="X67" s="97"/>
      <c r="Y67" s="95" t="s">
        <v>48</v>
      </c>
      <c r="Z67" s="96"/>
      <c r="AA67" s="96"/>
      <c r="AB67" s="97"/>
      <c r="AC67" s="104" t="s">
        <v>34</v>
      </c>
    </row>
    <row r="68" spans="1:29" ht="27" x14ac:dyDescent="0.2">
      <c r="A68" s="69" t="s">
        <v>19</v>
      </c>
      <c r="B68" s="69" t="s">
        <v>14</v>
      </c>
      <c r="C68" s="69" t="s">
        <v>380</v>
      </c>
      <c r="D68" s="69"/>
      <c r="E68" s="21" t="s">
        <v>17</v>
      </c>
      <c r="F68" s="22" t="s">
        <v>1</v>
      </c>
      <c r="G68" s="23" t="s">
        <v>18</v>
      </c>
      <c r="H68" s="50" t="s">
        <v>35</v>
      </c>
      <c r="I68" s="21" t="s">
        <v>17</v>
      </c>
      <c r="J68" s="22" t="s">
        <v>1</v>
      </c>
      <c r="K68" s="23" t="s">
        <v>18</v>
      </c>
      <c r="L68" s="50" t="s">
        <v>35</v>
      </c>
      <c r="M68" s="21" t="s">
        <v>17</v>
      </c>
      <c r="N68" s="22" t="s">
        <v>1</v>
      </c>
      <c r="O68" s="23" t="s">
        <v>18</v>
      </c>
      <c r="P68" s="50" t="s">
        <v>35</v>
      </c>
      <c r="Q68" s="21" t="s">
        <v>17</v>
      </c>
      <c r="R68" s="22" t="s">
        <v>1</v>
      </c>
      <c r="S68" s="23" t="s">
        <v>18</v>
      </c>
      <c r="T68" s="50" t="s">
        <v>35</v>
      </c>
      <c r="U68" s="21" t="s">
        <v>17</v>
      </c>
      <c r="V68" s="22" t="s">
        <v>1</v>
      </c>
      <c r="W68" s="23" t="s">
        <v>18</v>
      </c>
      <c r="X68" s="50" t="s">
        <v>35</v>
      </c>
      <c r="Y68" s="21" t="s">
        <v>17</v>
      </c>
      <c r="Z68" s="22" t="s">
        <v>1</v>
      </c>
      <c r="AA68" s="23" t="s">
        <v>18</v>
      </c>
      <c r="AB68" s="50" t="s">
        <v>35</v>
      </c>
      <c r="AC68" s="105"/>
    </row>
    <row r="69" spans="1:29" ht="20" customHeight="1" x14ac:dyDescent="0.25">
      <c r="A69" s="132">
        <v>1</v>
      </c>
      <c r="B69" s="79" t="str">
        <f>'CLASSIFICA ORDINATA'!B68</f>
        <v>RMT-87-TOMMY</v>
      </c>
      <c r="C69" s="80" t="str">
        <f>VLOOKUP(B69,nomi!B:C,2,FALSE)</f>
        <v>RMT-87-TOMMY</v>
      </c>
      <c r="D69" s="80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139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139">
        <f>'CLASSIFICA ORDINATA'!J68</f>
        <v>27</v>
      </c>
      <c r="M69" s="12" t="str">
        <f>'CLASSIFICA ORDINATA'!K68</f>
        <v/>
      </c>
      <c r="N69" s="12" t="str">
        <f>'CLASSIFICA ORDINATA'!L68</f>
        <v/>
      </c>
      <c r="O69" s="12" t="str">
        <f>'CLASSIFICA ORDINATA'!M68</f>
        <v/>
      </c>
      <c r="P69" s="139" t="str">
        <f>'CLASSIFICA ORDINATA'!N68</f>
        <v/>
      </c>
      <c r="Q69" s="12" t="str">
        <f>'CLASSIFICA ORDINATA'!O68</f>
        <v/>
      </c>
      <c r="R69" s="12" t="str">
        <f>'CLASSIFICA ORDINATA'!P68</f>
        <v/>
      </c>
      <c r="S69" s="12" t="str">
        <f>'CLASSIFICA ORDINATA'!Q68</f>
        <v/>
      </c>
      <c r="T69" s="139" t="str">
        <f>'CLASSIFICA ORDINATA'!R68</f>
        <v/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139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139" t="str">
        <f>'CLASSIFICA ORDINATA'!Z68</f>
        <v/>
      </c>
      <c r="AC69" s="140">
        <f>'CLASSIFICA ORDINATA'!AA68</f>
        <v>54</v>
      </c>
    </row>
    <row r="70" spans="1:29" ht="20" customHeight="1" x14ac:dyDescent="0.25">
      <c r="A70" s="132">
        <v>2</v>
      </c>
      <c r="B70" s="79" t="str">
        <f>'CLASSIFICA ORDINATA'!B69</f>
        <v>Flavio-VR46</v>
      </c>
      <c r="C70" s="80" t="str">
        <f>VLOOKUP(B70,nomi!B:C,2,FALSE)</f>
        <v>RMT-Flavio-VR46</v>
      </c>
      <c r="D70" s="80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139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139">
        <f>'CLASSIFICA ORDINATA'!J69</f>
        <v>27</v>
      </c>
      <c r="M70" s="12" t="str">
        <f>'CLASSIFICA ORDINATA'!K69</f>
        <v/>
      </c>
      <c r="N70" s="12" t="str">
        <f>'CLASSIFICA ORDINATA'!L69</f>
        <v/>
      </c>
      <c r="O70" s="12" t="str">
        <f>'CLASSIFICA ORDINATA'!M69</f>
        <v/>
      </c>
      <c r="P70" s="139" t="str">
        <f>'CLASSIFICA ORDINATA'!N69</f>
        <v/>
      </c>
      <c r="Q70" s="12" t="str">
        <f>'CLASSIFICA ORDINATA'!O69</f>
        <v/>
      </c>
      <c r="R70" s="12" t="str">
        <f>'CLASSIFICA ORDINATA'!P69</f>
        <v/>
      </c>
      <c r="S70" s="12" t="str">
        <f>'CLASSIFICA ORDINATA'!Q69</f>
        <v/>
      </c>
      <c r="T70" s="139" t="str">
        <f>'CLASSIFICA ORDINATA'!R69</f>
        <v/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139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139" t="str">
        <f>'CLASSIFICA ORDINATA'!Z69</f>
        <v/>
      </c>
      <c r="AC70" s="140">
        <f>'CLASSIFICA ORDINATA'!AA69</f>
        <v>54</v>
      </c>
    </row>
    <row r="71" spans="1:29" ht="20" customHeight="1" x14ac:dyDescent="0.25">
      <c r="A71" s="132">
        <v>3</v>
      </c>
      <c r="B71" s="79" t="str">
        <f>'CLASSIFICA ORDINATA'!B70</f>
        <v>BAD_Brucem84</v>
      </c>
      <c r="C71" s="80" t="str">
        <f>VLOOKUP(B71,nomi!B:C,2,FALSE)</f>
        <v>BAD_brucem84</v>
      </c>
      <c r="D71" s="80" t="str">
        <f>VLOOKUP(B71,nomi!B:G,6,FALSE)</f>
        <v>BAD</v>
      </c>
      <c r="E71" s="12">
        <f>'CLASSIFICA ORDINATA'!C70</f>
        <v>1</v>
      </c>
      <c r="F71" s="12">
        <f>'CLASSIFICA ORDINATA'!D70</f>
        <v>25</v>
      </c>
      <c r="G71" s="12" t="str">
        <f>'CLASSIFICA ORDINATA'!E70</f>
        <v/>
      </c>
      <c r="H71" s="139">
        <f>'CLASSIFICA ORDINATA'!F70</f>
        <v>26</v>
      </c>
      <c r="I71" s="12" t="str">
        <f>'CLASSIFICA ORDINATA'!G70</f>
        <v/>
      </c>
      <c r="J71" s="12">
        <f>'CLASSIFICA ORDINATA'!H70</f>
        <v>25</v>
      </c>
      <c r="K71" s="12" t="str">
        <f>'CLASSIFICA ORDINATA'!I70</f>
        <v/>
      </c>
      <c r="L71" s="139">
        <f>'CLASSIFICA ORDINATA'!J70</f>
        <v>25</v>
      </c>
      <c r="M71" s="12" t="str">
        <f>'CLASSIFICA ORDINATA'!K70</f>
        <v/>
      </c>
      <c r="N71" s="12" t="str">
        <f>'CLASSIFICA ORDINATA'!L70</f>
        <v/>
      </c>
      <c r="O71" s="12" t="str">
        <f>'CLASSIFICA ORDINATA'!M70</f>
        <v/>
      </c>
      <c r="P71" s="139" t="str">
        <f>'CLASSIFICA ORDINATA'!N70</f>
        <v/>
      </c>
      <c r="Q71" s="12" t="str">
        <f>'CLASSIFICA ORDINATA'!O70</f>
        <v/>
      </c>
      <c r="R71" s="12" t="str">
        <f>'CLASSIFICA ORDINATA'!P70</f>
        <v/>
      </c>
      <c r="S71" s="12" t="str">
        <f>'CLASSIFICA ORDINATA'!Q70</f>
        <v/>
      </c>
      <c r="T71" s="139" t="str">
        <f>'CLASSIFICA ORDINATA'!R70</f>
        <v/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139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139" t="str">
        <f>'CLASSIFICA ORDINATA'!Z70</f>
        <v/>
      </c>
      <c r="AC71" s="140">
        <f>'CLASSIFICA ORDINATA'!AA70</f>
        <v>51</v>
      </c>
    </row>
    <row r="72" spans="1:29" ht="20" customHeight="1" x14ac:dyDescent="0.25">
      <c r="A72" s="132">
        <v>4</v>
      </c>
      <c r="B72" s="79" t="str">
        <f>'CLASSIFICA ORDINATA'!B71</f>
        <v>RMT _SILVERMAN-AC</v>
      </c>
      <c r="C72" s="80" t="str">
        <f>VLOOKUP(B72,nomi!B:C,2,FALSE)</f>
        <v>L.Silvestri</v>
      </c>
      <c r="D72" s="80" t="str">
        <f>VLOOKUP(B72,nomi!B:G,6,FALSE)</f>
        <v>RMT</v>
      </c>
      <c r="E72" s="12">
        <f>'CLASSIFICA ORDINATA'!C71</f>
        <v>1</v>
      </c>
      <c r="F72" s="12">
        <f>'CLASSIFICA ORDINATA'!D71</f>
        <v>20</v>
      </c>
      <c r="G72" s="12" t="str">
        <f>'CLASSIFICA ORDINATA'!E71</f>
        <v/>
      </c>
      <c r="H72" s="139">
        <f>'CLASSIFICA ORDINATA'!F71</f>
        <v>21</v>
      </c>
      <c r="I72" s="12">
        <f>'CLASSIFICA ORDINATA'!G71</f>
        <v>1</v>
      </c>
      <c r="J72" s="12">
        <f>'CLASSIFICA ORDINATA'!H71</f>
        <v>25</v>
      </c>
      <c r="K72" s="12">
        <f>'CLASSIFICA ORDINATA'!I71</f>
        <v>1</v>
      </c>
      <c r="L72" s="139">
        <f>'CLASSIFICA ORDINATA'!J71</f>
        <v>27</v>
      </c>
      <c r="M72" s="12" t="str">
        <f>'CLASSIFICA ORDINATA'!K71</f>
        <v/>
      </c>
      <c r="N72" s="12" t="str">
        <f>'CLASSIFICA ORDINATA'!L71</f>
        <v/>
      </c>
      <c r="O72" s="12" t="str">
        <f>'CLASSIFICA ORDINATA'!M71</f>
        <v/>
      </c>
      <c r="P72" s="139" t="str">
        <f>'CLASSIFICA ORDINATA'!N71</f>
        <v/>
      </c>
      <c r="Q72" s="12" t="str">
        <f>'CLASSIFICA ORDINATA'!O71</f>
        <v/>
      </c>
      <c r="R72" s="12" t="str">
        <f>'CLASSIFICA ORDINATA'!P71</f>
        <v/>
      </c>
      <c r="S72" s="12" t="str">
        <f>'CLASSIFICA ORDINATA'!Q71</f>
        <v/>
      </c>
      <c r="T72" s="139" t="str">
        <f>'CLASSIFICA ORDINATA'!R71</f>
        <v/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139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139" t="str">
        <f>'CLASSIFICA ORDINATA'!Z71</f>
        <v/>
      </c>
      <c r="AC72" s="140">
        <f>'CLASSIFICA ORDINATA'!AA71</f>
        <v>48</v>
      </c>
    </row>
    <row r="73" spans="1:29" ht="20" customHeight="1" x14ac:dyDescent="0.25">
      <c r="A73" s="132">
        <v>5</v>
      </c>
      <c r="B73" s="79" t="str">
        <f>'CLASSIFICA ORDINATA'!B72</f>
        <v>DRT-Mirkobenny85</v>
      </c>
      <c r="C73" s="80" t="str">
        <f>VLOOKUP(B73,nomi!B:C,2,FALSE)</f>
        <v>M.Bennardo</v>
      </c>
      <c r="D73" s="80" t="str">
        <f>VLOOKUP(B73,nomi!B:G,6,FALSE)</f>
        <v>DRT</v>
      </c>
      <c r="E73" s="12" t="str">
        <f>'CLASSIFICA ORDINATA'!C72</f>
        <v/>
      </c>
      <c r="F73" s="12">
        <f>'CLASSIFICA ORDINATA'!D72</f>
        <v>25</v>
      </c>
      <c r="G73" s="12" t="str">
        <f>'CLASSIFICA ORDINATA'!E72</f>
        <v/>
      </c>
      <c r="H73" s="139">
        <f>'CLASSIFICA ORDINATA'!F72</f>
        <v>25</v>
      </c>
      <c r="I73" s="12" t="str">
        <f>'CLASSIFICA ORDINATA'!G72</f>
        <v/>
      </c>
      <c r="J73" s="12">
        <f>'CLASSIFICA ORDINATA'!H72</f>
        <v>16</v>
      </c>
      <c r="K73" s="12" t="str">
        <f>'CLASSIFICA ORDINATA'!I72</f>
        <v/>
      </c>
      <c r="L73" s="139">
        <f>'CLASSIFICA ORDINATA'!J72</f>
        <v>16</v>
      </c>
      <c r="M73" s="12" t="str">
        <f>'CLASSIFICA ORDINATA'!K72</f>
        <v/>
      </c>
      <c r="N73" s="12" t="str">
        <f>'CLASSIFICA ORDINATA'!L72</f>
        <v/>
      </c>
      <c r="O73" s="12" t="str">
        <f>'CLASSIFICA ORDINATA'!M72</f>
        <v/>
      </c>
      <c r="P73" s="139" t="str">
        <f>'CLASSIFICA ORDINATA'!N72</f>
        <v/>
      </c>
      <c r="Q73" s="12" t="str">
        <f>'CLASSIFICA ORDINATA'!O72</f>
        <v/>
      </c>
      <c r="R73" s="12" t="str">
        <f>'CLASSIFICA ORDINATA'!P72</f>
        <v/>
      </c>
      <c r="S73" s="12" t="str">
        <f>'CLASSIFICA ORDINATA'!Q72</f>
        <v/>
      </c>
      <c r="T73" s="139" t="str">
        <f>'CLASSIFICA ORDINATA'!R72</f>
        <v/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139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139" t="str">
        <f>'CLASSIFICA ORDINATA'!Z72</f>
        <v/>
      </c>
      <c r="AC73" s="140">
        <f>'CLASSIFICA ORDINATA'!AA72</f>
        <v>41</v>
      </c>
    </row>
    <row r="74" spans="1:29" ht="20" customHeight="1" x14ac:dyDescent="0.25">
      <c r="A74" s="132">
        <v>6</v>
      </c>
      <c r="B74" s="79" t="str">
        <f>'CLASSIFICA ORDINATA'!B73</f>
        <v>Pointshark</v>
      </c>
      <c r="C74" s="80" t="str">
        <f>VLOOKUP(B74,nomi!B:C,2,FALSE)</f>
        <v>Daniele</v>
      </c>
      <c r="D74" s="80" t="str">
        <f>VLOOKUP(B74,nomi!B:G,6,FALSE)</f>
        <v>GTRC</v>
      </c>
      <c r="E74" s="12" t="str">
        <f>'CLASSIFICA ORDINATA'!C73</f>
        <v/>
      </c>
      <c r="F74" s="12">
        <f>'CLASSIFICA ORDINATA'!D73</f>
        <v>18</v>
      </c>
      <c r="G74" s="12">
        <f>'CLASSIFICA ORDINATA'!E73</f>
        <v>1</v>
      </c>
      <c r="H74" s="139">
        <f>'CLASSIFICA ORDINATA'!F73</f>
        <v>19</v>
      </c>
      <c r="I74" s="12" t="str">
        <f>'CLASSIFICA ORDINATA'!G73</f>
        <v/>
      </c>
      <c r="J74" s="12">
        <f>'CLASSIFICA ORDINATA'!H73</f>
        <v>20</v>
      </c>
      <c r="K74" s="12">
        <f>'CLASSIFICA ORDINATA'!I73</f>
        <v>1</v>
      </c>
      <c r="L74" s="139">
        <f>'CLASSIFICA ORDINATA'!J73</f>
        <v>21</v>
      </c>
      <c r="M74" s="12" t="str">
        <f>'CLASSIFICA ORDINATA'!K73</f>
        <v/>
      </c>
      <c r="N74" s="12" t="str">
        <f>'CLASSIFICA ORDINATA'!L73</f>
        <v/>
      </c>
      <c r="O74" s="12" t="str">
        <f>'CLASSIFICA ORDINATA'!M73</f>
        <v/>
      </c>
      <c r="P74" s="139" t="str">
        <f>'CLASSIFICA ORDINATA'!N73</f>
        <v/>
      </c>
      <c r="Q74" s="12" t="str">
        <f>'CLASSIFICA ORDINATA'!O73</f>
        <v/>
      </c>
      <c r="R74" s="12" t="str">
        <f>'CLASSIFICA ORDINATA'!P73</f>
        <v/>
      </c>
      <c r="S74" s="12" t="str">
        <f>'CLASSIFICA ORDINATA'!Q73</f>
        <v/>
      </c>
      <c r="T74" s="139" t="str">
        <f>'CLASSIFICA ORDINATA'!R73</f>
        <v/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139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139" t="str">
        <f>'CLASSIFICA ORDINATA'!Z73</f>
        <v/>
      </c>
      <c r="AC74" s="140">
        <f>'CLASSIFICA ORDINATA'!AA73</f>
        <v>40</v>
      </c>
    </row>
    <row r="75" spans="1:29" ht="20" customHeight="1" x14ac:dyDescent="0.25">
      <c r="A75" s="132">
        <v>7</v>
      </c>
      <c r="B75" s="79" t="str">
        <f>'CLASSIFICA ORDINATA'!B74</f>
        <v>Bobgre93</v>
      </c>
      <c r="C75" s="80" t="str">
        <f>VLOOKUP(B75,nomi!B:C,2,FALSE)</f>
        <v>TLM_BobGre93</v>
      </c>
      <c r="D75" s="80" t="str">
        <f>VLOOKUP(B75,nomi!B:G,6,FALSE)</f>
        <v>TLM</v>
      </c>
      <c r="E75" s="12" t="str">
        <f>'CLASSIFICA ORDINATA'!C74</f>
        <v/>
      </c>
      <c r="F75" s="12">
        <f>'CLASSIFICA ORDINATA'!D74</f>
        <v>20</v>
      </c>
      <c r="G75" s="12" t="str">
        <f>'CLASSIFICA ORDINATA'!E74</f>
        <v/>
      </c>
      <c r="H75" s="139">
        <f>'CLASSIFICA ORDINATA'!F74</f>
        <v>20</v>
      </c>
      <c r="I75" s="12" t="str">
        <f>'CLASSIFICA ORDINATA'!G74</f>
        <v/>
      </c>
      <c r="J75" s="12">
        <f>'CLASSIFICA ORDINATA'!H74</f>
        <v>16</v>
      </c>
      <c r="K75" s="12" t="str">
        <f>'CLASSIFICA ORDINATA'!I74</f>
        <v/>
      </c>
      <c r="L75" s="139">
        <f>'CLASSIFICA ORDINATA'!J74</f>
        <v>16</v>
      </c>
      <c r="M75" s="12" t="str">
        <f>'CLASSIFICA ORDINATA'!K74</f>
        <v/>
      </c>
      <c r="N75" s="12" t="str">
        <f>'CLASSIFICA ORDINATA'!L74</f>
        <v/>
      </c>
      <c r="O75" s="12" t="str">
        <f>'CLASSIFICA ORDINATA'!M74</f>
        <v/>
      </c>
      <c r="P75" s="139" t="str">
        <f>'CLASSIFICA ORDINATA'!N74</f>
        <v/>
      </c>
      <c r="Q75" s="12" t="str">
        <f>'CLASSIFICA ORDINATA'!O74</f>
        <v/>
      </c>
      <c r="R75" s="12" t="str">
        <f>'CLASSIFICA ORDINATA'!P74</f>
        <v/>
      </c>
      <c r="S75" s="12" t="str">
        <f>'CLASSIFICA ORDINATA'!Q74</f>
        <v/>
      </c>
      <c r="T75" s="139" t="str">
        <f>'CLASSIFICA ORDINATA'!R74</f>
        <v/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139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139" t="str">
        <f>'CLASSIFICA ORDINATA'!Z74</f>
        <v/>
      </c>
      <c r="AC75" s="140">
        <f>'CLASSIFICA ORDINATA'!AA74</f>
        <v>36</v>
      </c>
    </row>
    <row r="76" spans="1:29" ht="20" customHeight="1" x14ac:dyDescent="0.25">
      <c r="A76" s="132">
        <v>8</v>
      </c>
      <c r="B76" s="79" t="str">
        <f>'CLASSIFICA ORDINATA'!B75</f>
        <v>TLM_SKIZZO 34</v>
      </c>
      <c r="C76" s="80" t="str">
        <f>VLOOKUP(B76,nomi!B:C,2,FALSE)</f>
        <v>TLM_SKIIZZO 34</v>
      </c>
      <c r="D76" s="80" t="str">
        <f>VLOOKUP(B76,nomi!B:G,6,FALSE)</f>
        <v>TLM</v>
      </c>
      <c r="E76" s="12" t="str">
        <f>'CLASSIFICA ORDINATA'!C75</f>
        <v/>
      </c>
      <c r="F76" s="12">
        <f>'CLASSIFICA ORDINATA'!D75</f>
        <v>16</v>
      </c>
      <c r="G76" s="12" t="str">
        <f>'CLASSIFICA ORDINATA'!E75</f>
        <v/>
      </c>
      <c r="H76" s="139">
        <f>'CLASSIFICA ORDINATA'!F75</f>
        <v>16</v>
      </c>
      <c r="I76" s="12" t="str">
        <f>'CLASSIFICA ORDINATA'!G75</f>
        <v/>
      </c>
      <c r="J76" s="12">
        <f>'CLASSIFICA ORDINATA'!H75</f>
        <v>18</v>
      </c>
      <c r="K76" s="12" t="str">
        <f>'CLASSIFICA ORDINATA'!I75</f>
        <v/>
      </c>
      <c r="L76" s="139">
        <f>'CLASSIFICA ORDINATA'!J75</f>
        <v>18</v>
      </c>
      <c r="M76" s="12" t="str">
        <f>'CLASSIFICA ORDINATA'!K75</f>
        <v/>
      </c>
      <c r="N76" s="12" t="str">
        <f>'CLASSIFICA ORDINATA'!L75</f>
        <v/>
      </c>
      <c r="O76" s="12" t="str">
        <f>'CLASSIFICA ORDINATA'!M75</f>
        <v/>
      </c>
      <c r="P76" s="139" t="str">
        <f>'CLASSIFICA ORDINATA'!N75</f>
        <v/>
      </c>
      <c r="Q76" s="12" t="str">
        <f>'CLASSIFICA ORDINATA'!O75</f>
        <v/>
      </c>
      <c r="R76" s="12" t="str">
        <f>'CLASSIFICA ORDINATA'!P75</f>
        <v/>
      </c>
      <c r="S76" s="12" t="str">
        <f>'CLASSIFICA ORDINATA'!Q75</f>
        <v/>
      </c>
      <c r="T76" s="139" t="str">
        <f>'CLASSIFICA ORDINATA'!R75</f>
        <v/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139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139" t="str">
        <f>'CLASSIFICA ORDINATA'!Z75</f>
        <v/>
      </c>
      <c r="AC76" s="140">
        <f>'CLASSIFICA ORDINATA'!AA75</f>
        <v>34</v>
      </c>
    </row>
    <row r="77" spans="1:29" ht="20" customHeight="1" x14ac:dyDescent="0.25">
      <c r="A77" s="132">
        <v>9</v>
      </c>
      <c r="B77" s="79" t="str">
        <f>'CLASSIFICA ORDINATA'!B76</f>
        <v>TheGuarny</v>
      </c>
      <c r="C77" s="80" t="str">
        <f>VLOOKUP(B77,nomi!B:C,2,FALSE)</f>
        <v>A. Guarnaccia</v>
      </c>
      <c r="D77" s="80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139">
        <f>'CLASSIFICA ORDINATA'!F76</f>
        <v>20</v>
      </c>
      <c r="I77" s="12" t="str">
        <f>'CLASSIFICA ORDINATA'!G76</f>
        <v/>
      </c>
      <c r="J77" s="12">
        <f>'CLASSIFICA ORDINATA'!H76</f>
        <v>14</v>
      </c>
      <c r="K77" s="12" t="str">
        <f>'CLASSIFICA ORDINATA'!I76</f>
        <v/>
      </c>
      <c r="L77" s="139">
        <f>'CLASSIFICA ORDINATA'!J76</f>
        <v>14</v>
      </c>
      <c r="M77" s="12" t="str">
        <f>'CLASSIFICA ORDINATA'!K76</f>
        <v/>
      </c>
      <c r="N77" s="12" t="str">
        <f>'CLASSIFICA ORDINATA'!L76</f>
        <v/>
      </c>
      <c r="O77" s="12" t="str">
        <f>'CLASSIFICA ORDINATA'!M76</f>
        <v/>
      </c>
      <c r="P77" s="139" t="str">
        <f>'CLASSIFICA ORDINATA'!N76</f>
        <v/>
      </c>
      <c r="Q77" s="12" t="str">
        <f>'CLASSIFICA ORDINATA'!O76</f>
        <v/>
      </c>
      <c r="R77" s="12" t="str">
        <f>'CLASSIFICA ORDINATA'!P76</f>
        <v/>
      </c>
      <c r="S77" s="12" t="str">
        <f>'CLASSIFICA ORDINATA'!Q76</f>
        <v/>
      </c>
      <c r="T77" s="139" t="str">
        <f>'CLASSIFICA ORDINATA'!R76</f>
        <v/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139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139" t="str">
        <f>'CLASSIFICA ORDINATA'!Z76</f>
        <v/>
      </c>
      <c r="AC77" s="140">
        <f>'CLASSIFICA ORDINATA'!AA76</f>
        <v>34</v>
      </c>
    </row>
    <row r="78" spans="1:29" ht="20" customHeight="1" x14ac:dyDescent="0.25">
      <c r="A78" s="132">
        <v>10</v>
      </c>
      <c r="B78" s="79" t="str">
        <f>'CLASSIFICA ORDINATA'!B77</f>
        <v>Buitre83GT</v>
      </c>
      <c r="C78" s="80" t="str">
        <f>VLOOKUP(B78,nomi!B:C,2,FALSE)</f>
        <v>TLM_Proietti</v>
      </c>
      <c r="D78" s="80" t="str">
        <f>VLOOKUP(B78,nomi!B:G,6,FALSE)</f>
        <v>TLM</v>
      </c>
      <c r="E78" s="12" t="str">
        <f>'CLASSIFICA ORDINATA'!C77</f>
        <v/>
      </c>
      <c r="F78" s="12">
        <f>'CLASSIFICA ORDINATA'!D77</f>
        <v>14</v>
      </c>
      <c r="G78" s="12" t="str">
        <f>'CLASSIFICA ORDINATA'!E77</f>
        <v/>
      </c>
      <c r="H78" s="139">
        <f>'CLASSIFICA ORDINATA'!F77</f>
        <v>14</v>
      </c>
      <c r="I78" s="12">
        <f>'CLASSIFICA ORDINATA'!G77</f>
        <v>1</v>
      </c>
      <c r="J78" s="12">
        <f>'CLASSIFICA ORDINATA'!H77</f>
        <v>18</v>
      </c>
      <c r="K78" s="12" t="str">
        <f>'CLASSIFICA ORDINATA'!I77</f>
        <v/>
      </c>
      <c r="L78" s="139">
        <f>'CLASSIFICA ORDINATA'!J77</f>
        <v>19</v>
      </c>
      <c r="M78" s="12" t="str">
        <f>'CLASSIFICA ORDINATA'!K77</f>
        <v/>
      </c>
      <c r="N78" s="12" t="str">
        <f>'CLASSIFICA ORDINATA'!L77</f>
        <v/>
      </c>
      <c r="O78" s="12" t="str">
        <f>'CLASSIFICA ORDINATA'!M77</f>
        <v/>
      </c>
      <c r="P78" s="139" t="str">
        <f>'CLASSIFICA ORDINATA'!N77</f>
        <v/>
      </c>
      <c r="Q78" s="12" t="str">
        <f>'CLASSIFICA ORDINATA'!O77</f>
        <v/>
      </c>
      <c r="R78" s="12" t="str">
        <f>'CLASSIFICA ORDINATA'!P77</f>
        <v/>
      </c>
      <c r="S78" s="12" t="str">
        <f>'CLASSIFICA ORDINATA'!Q77</f>
        <v/>
      </c>
      <c r="T78" s="139" t="str">
        <f>'CLASSIFICA ORDINATA'!R77</f>
        <v/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139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139" t="str">
        <f>'CLASSIFICA ORDINATA'!Z77</f>
        <v/>
      </c>
      <c r="AC78" s="140">
        <f>'CLASSIFICA ORDINATA'!AA77</f>
        <v>33</v>
      </c>
    </row>
    <row r="79" spans="1:29" ht="20" customHeight="1" x14ac:dyDescent="0.25">
      <c r="A79" s="132">
        <v>11</v>
      </c>
      <c r="B79" s="79" t="str">
        <f>'CLASSIFICA ORDINATA'!B78</f>
        <v>Marco-super-gt</v>
      </c>
      <c r="C79" s="80" t="str">
        <f>VLOOKUP(B79,nomi!B:C,2,FALSE)</f>
        <v>M.Pirrello</v>
      </c>
      <c r="D79" s="80" t="str">
        <f>VLOOKUP(B79,nomi!B:G,6,FALSE)</f>
        <v>GTID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139">
        <f>'CLASSIFICA ORDINATA'!F78</f>
        <v>18</v>
      </c>
      <c r="I79" s="12" t="str">
        <f>'CLASSIFICA ORDINATA'!G78</f>
        <v/>
      </c>
      <c r="J79" s="12">
        <f>'CLASSIFICA ORDINATA'!H78</f>
        <v>14</v>
      </c>
      <c r="K79" s="12" t="str">
        <f>'CLASSIFICA ORDINATA'!I78</f>
        <v/>
      </c>
      <c r="L79" s="139">
        <f>'CLASSIFICA ORDINATA'!J78</f>
        <v>14</v>
      </c>
      <c r="M79" s="12" t="str">
        <f>'CLASSIFICA ORDINATA'!K78</f>
        <v/>
      </c>
      <c r="N79" s="12" t="str">
        <f>'CLASSIFICA ORDINATA'!L78</f>
        <v/>
      </c>
      <c r="O79" s="12" t="str">
        <f>'CLASSIFICA ORDINATA'!M78</f>
        <v/>
      </c>
      <c r="P79" s="139" t="str">
        <f>'CLASSIFICA ORDINATA'!N78</f>
        <v/>
      </c>
      <c r="Q79" s="12" t="str">
        <f>'CLASSIFICA ORDINATA'!O78</f>
        <v/>
      </c>
      <c r="R79" s="12" t="str">
        <f>'CLASSIFICA ORDINATA'!P78</f>
        <v/>
      </c>
      <c r="S79" s="12" t="str">
        <f>'CLASSIFICA ORDINATA'!Q78</f>
        <v/>
      </c>
      <c r="T79" s="139" t="str">
        <f>'CLASSIFICA ORDINATA'!R78</f>
        <v/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139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139" t="str">
        <f>'CLASSIFICA ORDINATA'!Z78</f>
        <v/>
      </c>
      <c r="AC79" s="140">
        <f>'CLASSIFICA ORDINATA'!AA78</f>
        <v>32</v>
      </c>
    </row>
    <row r="80" spans="1:29" ht="20" customHeight="1" x14ac:dyDescent="0.25">
      <c r="A80" s="132">
        <v>12</v>
      </c>
      <c r="B80" s="79" t="str">
        <f>'CLASSIFICA ORDINATA'!B79</f>
        <v>Parenji</v>
      </c>
      <c r="C80" s="80" t="str">
        <f>VLOOKUP(B80,nomi!B:C,2,FALSE)</f>
        <v>TLM_Parenti</v>
      </c>
      <c r="D80" s="80" t="str">
        <f>VLOOKUP(B80,nomi!B:G,6,FALSE)</f>
        <v>TLM</v>
      </c>
      <c r="E80" s="12" t="str">
        <f>'CLASSIFICA ORDINATA'!C79</f>
        <v/>
      </c>
      <c r="F80" s="12">
        <f>'CLASSIFICA ORDINATA'!D79</f>
        <v>14</v>
      </c>
      <c r="G80" s="12" t="str">
        <f>'CLASSIFICA ORDINATA'!E79</f>
        <v/>
      </c>
      <c r="H80" s="139">
        <f>'CLASSIFICA ORDINATA'!F79</f>
        <v>14</v>
      </c>
      <c r="I80" s="12" t="str">
        <f>'CLASSIFICA ORDINATA'!G79</f>
        <v/>
      </c>
      <c r="J80" s="12">
        <f>'CLASSIFICA ORDINATA'!H79</f>
        <v>18</v>
      </c>
      <c r="K80" s="12" t="str">
        <f>'CLASSIFICA ORDINATA'!I79</f>
        <v/>
      </c>
      <c r="L80" s="139">
        <f>'CLASSIFICA ORDINATA'!J79</f>
        <v>18</v>
      </c>
      <c r="M80" s="12" t="str">
        <f>'CLASSIFICA ORDINATA'!K79</f>
        <v/>
      </c>
      <c r="N80" s="12" t="str">
        <f>'CLASSIFICA ORDINATA'!L79</f>
        <v/>
      </c>
      <c r="O80" s="12" t="str">
        <f>'CLASSIFICA ORDINATA'!M79</f>
        <v/>
      </c>
      <c r="P80" s="139" t="str">
        <f>'CLASSIFICA ORDINATA'!N79</f>
        <v/>
      </c>
      <c r="Q80" s="12" t="str">
        <f>'CLASSIFICA ORDINATA'!O79</f>
        <v/>
      </c>
      <c r="R80" s="12" t="str">
        <f>'CLASSIFICA ORDINATA'!P79</f>
        <v/>
      </c>
      <c r="S80" s="12" t="str">
        <f>'CLASSIFICA ORDINATA'!Q79</f>
        <v/>
      </c>
      <c r="T80" s="139" t="str">
        <f>'CLASSIFICA ORDINATA'!R79</f>
        <v/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139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139" t="str">
        <f>'CLASSIFICA ORDINATA'!Z79</f>
        <v/>
      </c>
      <c r="AC80" s="140">
        <f>'CLASSIFICA ORDINATA'!AA79</f>
        <v>32</v>
      </c>
    </row>
    <row r="81" spans="1:29" ht="20" customHeight="1" x14ac:dyDescent="0.25">
      <c r="A81" s="132">
        <v>13</v>
      </c>
      <c r="B81" s="79" t="str">
        <f>'CLASSIFICA ORDINATA'!B80</f>
        <v>TLM_Kappa</v>
      </c>
      <c r="C81" s="80" t="str">
        <f>VLOOKUP(B81,nomi!B:C,2,FALSE)</f>
        <v>TLM_Kappa</v>
      </c>
      <c r="D81" s="80" t="str">
        <f>VLOOKUP(B81,nomi!B:G,6,FALSE)</f>
        <v>TLM</v>
      </c>
      <c r="E81" s="12" t="str">
        <f>'CLASSIFICA ORDINATA'!C80</f>
        <v/>
      </c>
      <c r="F81" s="12">
        <f>'CLASSIFICA ORDINATA'!D80</f>
        <v>20</v>
      </c>
      <c r="G81" s="12" t="str">
        <f>'CLASSIFICA ORDINATA'!E80</f>
        <v/>
      </c>
      <c r="H81" s="139">
        <f>'CLASSIFICA ORDINATA'!F80</f>
        <v>20</v>
      </c>
      <c r="I81" s="12" t="str">
        <f>'CLASSIFICA ORDINATA'!G80</f>
        <v/>
      </c>
      <c r="J81" s="12">
        <f>'CLASSIFICA ORDINATA'!H80</f>
        <v>10</v>
      </c>
      <c r="K81" s="12" t="str">
        <f>'CLASSIFICA ORDINATA'!I80</f>
        <v/>
      </c>
      <c r="L81" s="139">
        <f>'CLASSIFICA ORDINATA'!J80</f>
        <v>10</v>
      </c>
      <c r="M81" s="12" t="str">
        <f>'CLASSIFICA ORDINATA'!K80</f>
        <v/>
      </c>
      <c r="N81" s="12" t="str">
        <f>'CLASSIFICA ORDINATA'!L80</f>
        <v/>
      </c>
      <c r="O81" s="12" t="str">
        <f>'CLASSIFICA ORDINATA'!M80</f>
        <v/>
      </c>
      <c r="P81" s="139" t="str">
        <f>'CLASSIFICA ORDINATA'!N80</f>
        <v/>
      </c>
      <c r="Q81" s="12" t="str">
        <f>'CLASSIFICA ORDINATA'!O80</f>
        <v/>
      </c>
      <c r="R81" s="12" t="str">
        <f>'CLASSIFICA ORDINATA'!P80</f>
        <v/>
      </c>
      <c r="S81" s="12" t="str">
        <f>'CLASSIFICA ORDINATA'!Q80</f>
        <v/>
      </c>
      <c r="T81" s="139" t="str">
        <f>'CLASSIFICA ORDINATA'!R80</f>
        <v/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139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139" t="str">
        <f>'CLASSIFICA ORDINATA'!Z80</f>
        <v/>
      </c>
      <c r="AC81" s="140">
        <f>'CLASSIFICA ORDINATA'!AA80</f>
        <v>30</v>
      </c>
    </row>
    <row r="82" spans="1:29" ht="20" customHeight="1" thickBot="1" x14ac:dyDescent="0.3">
      <c r="A82" s="133">
        <v>14</v>
      </c>
      <c r="B82" s="81" t="str">
        <f>'CLASSIFICA ORDINATA'!B81</f>
        <v>CORNAZZAI73</v>
      </c>
      <c r="C82" s="82" t="str">
        <f>VLOOKUP(B82,nomi!B:C,2,FALSE)</f>
        <v>GTID_Cornazzai73</v>
      </c>
      <c r="D82" s="82" t="str">
        <f>VLOOKUP(B82,nomi!B:G,6,FALSE)</f>
        <v>GTID</v>
      </c>
      <c r="E82" s="12" t="str">
        <f>'CLASSIFICA ORDINATA'!C81</f>
        <v/>
      </c>
      <c r="F82" s="12">
        <f>'CLASSIFICA ORDINATA'!D81</f>
        <v>16</v>
      </c>
      <c r="G82" s="12" t="str">
        <f>'CLASSIFICA ORDINATA'!E81</f>
        <v/>
      </c>
      <c r="H82" s="139">
        <f>'CLASSIFICA ORDINATA'!F81</f>
        <v>16</v>
      </c>
      <c r="I82" s="12" t="str">
        <f>'CLASSIFICA ORDINATA'!G81</f>
        <v/>
      </c>
      <c r="J82" s="12">
        <f>'CLASSIFICA ORDINATA'!H81</f>
        <v>14</v>
      </c>
      <c r="K82" s="12" t="str">
        <f>'CLASSIFICA ORDINATA'!I81</f>
        <v/>
      </c>
      <c r="L82" s="139">
        <f>'CLASSIFICA ORDINATA'!J81</f>
        <v>14</v>
      </c>
      <c r="M82" s="12" t="str">
        <f>'CLASSIFICA ORDINATA'!K81</f>
        <v/>
      </c>
      <c r="N82" s="12" t="str">
        <f>'CLASSIFICA ORDINATA'!L81</f>
        <v/>
      </c>
      <c r="O82" s="12" t="str">
        <f>'CLASSIFICA ORDINATA'!M81</f>
        <v/>
      </c>
      <c r="P82" s="139" t="str">
        <f>'CLASSIFICA ORDINATA'!N81</f>
        <v/>
      </c>
      <c r="Q82" s="12" t="str">
        <f>'CLASSIFICA ORDINATA'!O81</f>
        <v/>
      </c>
      <c r="R82" s="12" t="str">
        <f>'CLASSIFICA ORDINATA'!P81</f>
        <v/>
      </c>
      <c r="S82" s="12" t="str">
        <f>'CLASSIFICA ORDINATA'!Q81</f>
        <v/>
      </c>
      <c r="T82" s="139" t="str">
        <f>'CLASSIFICA ORDINATA'!R81</f>
        <v/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139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139" t="str">
        <f>'CLASSIFICA ORDINATA'!Z81</f>
        <v/>
      </c>
      <c r="AC82" s="140">
        <f>'CLASSIFICA ORDINATA'!AA81</f>
        <v>30</v>
      </c>
    </row>
    <row r="83" spans="1:29" ht="20" customHeight="1" x14ac:dyDescent="0.25">
      <c r="A83" s="134">
        <v>15</v>
      </c>
      <c r="B83" s="136" t="str">
        <f>'CLASSIFICA ORDINATA'!B82</f>
        <v>RMT_GEFF-21</v>
      </c>
      <c r="C83" s="137" t="str">
        <f>VLOOKUP(B83,nomi!B:C,2,FALSE)</f>
        <v>DIEGHITO BOSS</v>
      </c>
      <c r="D83" s="137" t="str">
        <f>VLOOKUP(B83,nomi!B:G,6,FALSE)</f>
        <v>RMT</v>
      </c>
      <c r="E83" s="12" t="str">
        <f>'CLASSIFICA ORDINATA'!C82</f>
        <v/>
      </c>
      <c r="F83" s="12">
        <f>'CLASSIFICA ORDINATA'!D82</f>
        <v>14</v>
      </c>
      <c r="G83" s="12" t="str">
        <f>'CLASSIFICA ORDINATA'!E82</f>
        <v/>
      </c>
      <c r="H83" s="139">
        <f>'CLASSIFICA ORDINATA'!F82</f>
        <v>14</v>
      </c>
      <c r="I83" s="12" t="str">
        <f>'CLASSIFICA ORDINATA'!G82</f>
        <v/>
      </c>
      <c r="J83" s="12">
        <f>'CLASSIFICA ORDINATA'!H82</f>
        <v>16</v>
      </c>
      <c r="K83" s="12" t="str">
        <f>'CLASSIFICA ORDINATA'!I82</f>
        <v/>
      </c>
      <c r="L83" s="139">
        <f>'CLASSIFICA ORDINATA'!J82</f>
        <v>16</v>
      </c>
      <c r="M83" s="12" t="str">
        <f>'CLASSIFICA ORDINATA'!K82</f>
        <v/>
      </c>
      <c r="N83" s="12" t="str">
        <f>'CLASSIFICA ORDINATA'!L82</f>
        <v/>
      </c>
      <c r="O83" s="12" t="str">
        <f>'CLASSIFICA ORDINATA'!M82</f>
        <v/>
      </c>
      <c r="P83" s="139" t="str">
        <f>'CLASSIFICA ORDINATA'!N82</f>
        <v/>
      </c>
      <c r="Q83" s="12" t="str">
        <f>'CLASSIFICA ORDINATA'!O82</f>
        <v/>
      </c>
      <c r="R83" s="12" t="str">
        <f>'CLASSIFICA ORDINATA'!P82</f>
        <v/>
      </c>
      <c r="S83" s="12" t="str">
        <f>'CLASSIFICA ORDINATA'!Q82</f>
        <v/>
      </c>
      <c r="T83" s="139" t="str">
        <f>'CLASSIFICA ORDINATA'!R82</f>
        <v/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139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139" t="str">
        <f>'CLASSIFICA ORDINATA'!Z82</f>
        <v/>
      </c>
      <c r="AC83" s="140">
        <f>'CLASSIFICA ORDINATA'!AA82</f>
        <v>30</v>
      </c>
    </row>
    <row r="84" spans="1:29" ht="20" customHeight="1" x14ac:dyDescent="0.25">
      <c r="A84" s="135">
        <v>16</v>
      </c>
      <c r="B84" s="138" t="str">
        <f>'CLASSIFICA ORDINATA'!B83</f>
        <v>TLM_wid83</v>
      </c>
      <c r="C84" s="127" t="str">
        <f>VLOOKUP(B84,nomi!B:C,2,FALSE)</f>
        <v>TLM_wid83</v>
      </c>
      <c r="D84" s="127" t="str">
        <f>VLOOKUP(B84,nomi!B:G,6,FALSE)</f>
        <v>TLM</v>
      </c>
      <c r="E84" s="12" t="str">
        <f>'CLASSIFICA ORDINATA'!C83</f>
        <v/>
      </c>
      <c r="F84" s="12">
        <f>'CLASSIFICA ORDINATA'!D83</f>
        <v>18</v>
      </c>
      <c r="G84" s="12" t="str">
        <f>'CLASSIFICA ORDINATA'!E83</f>
        <v/>
      </c>
      <c r="H84" s="139">
        <f>'CLASSIFICA ORDINATA'!F83</f>
        <v>18</v>
      </c>
      <c r="I84" s="12" t="str">
        <f>'CLASSIFICA ORDINATA'!G83</f>
        <v/>
      </c>
      <c r="J84" s="12">
        <f>'CLASSIFICA ORDINATA'!H83</f>
        <v>12</v>
      </c>
      <c r="K84" s="12" t="str">
        <f>'CLASSIFICA ORDINATA'!I83</f>
        <v/>
      </c>
      <c r="L84" s="139">
        <f>'CLASSIFICA ORDINATA'!J83</f>
        <v>12</v>
      </c>
      <c r="M84" s="12" t="str">
        <f>'CLASSIFICA ORDINATA'!K83</f>
        <v/>
      </c>
      <c r="N84" s="12" t="str">
        <f>'CLASSIFICA ORDINATA'!L83</f>
        <v/>
      </c>
      <c r="O84" s="12" t="str">
        <f>'CLASSIFICA ORDINATA'!M83</f>
        <v/>
      </c>
      <c r="P84" s="139" t="str">
        <f>'CLASSIFICA ORDINATA'!N83</f>
        <v/>
      </c>
      <c r="Q84" s="12" t="str">
        <f>'CLASSIFICA ORDINATA'!O83</f>
        <v/>
      </c>
      <c r="R84" s="12" t="str">
        <f>'CLASSIFICA ORDINATA'!P83</f>
        <v/>
      </c>
      <c r="S84" s="12" t="str">
        <f>'CLASSIFICA ORDINATA'!Q83</f>
        <v/>
      </c>
      <c r="T84" s="139" t="str">
        <f>'CLASSIFICA ORDINATA'!R83</f>
        <v/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139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139" t="str">
        <f>'CLASSIFICA ORDINATA'!Z83</f>
        <v/>
      </c>
      <c r="AC84" s="140">
        <f>'CLASSIFICA ORDINATA'!AA83</f>
        <v>30</v>
      </c>
    </row>
    <row r="85" spans="1:29" ht="20" customHeight="1" x14ac:dyDescent="0.25">
      <c r="A85" s="135">
        <v>17</v>
      </c>
      <c r="B85" s="138" t="str">
        <f>'CLASSIFICA ORDINATA'!B84</f>
        <v>X-Gianni-</v>
      </c>
      <c r="C85" s="127" t="str">
        <f>VLOOKUP(B85,nomi!B:C,2,FALSE)</f>
        <v>GTRC-X-Gianni-</v>
      </c>
      <c r="D85" s="127" t="str">
        <f>VLOOKUP(B85,nomi!B:G,6,FALSE)</f>
        <v>GTRC</v>
      </c>
      <c r="E85" s="12" t="str">
        <f>'CLASSIFICA ORDINATA'!C84</f>
        <v/>
      </c>
      <c r="F85" s="12">
        <f>'CLASSIFICA ORDINATA'!D84</f>
        <v>18</v>
      </c>
      <c r="G85" s="12" t="str">
        <f>'CLASSIFICA ORDINATA'!E84</f>
        <v/>
      </c>
      <c r="H85" s="139">
        <f>'CLASSIFICA ORDINATA'!F84</f>
        <v>18</v>
      </c>
      <c r="I85" s="12" t="str">
        <f>'CLASSIFICA ORDINATA'!G84</f>
        <v/>
      </c>
      <c r="J85" s="12">
        <f>'CLASSIFICA ORDINATA'!H84</f>
        <v>12</v>
      </c>
      <c r="K85" s="12" t="str">
        <f>'CLASSIFICA ORDINATA'!I84</f>
        <v/>
      </c>
      <c r="L85" s="139">
        <f>'CLASSIFICA ORDINATA'!J84</f>
        <v>12</v>
      </c>
      <c r="M85" s="12" t="str">
        <f>'CLASSIFICA ORDINATA'!K84</f>
        <v/>
      </c>
      <c r="N85" s="12" t="str">
        <f>'CLASSIFICA ORDINATA'!L84</f>
        <v/>
      </c>
      <c r="O85" s="12" t="str">
        <f>'CLASSIFICA ORDINATA'!M84</f>
        <v/>
      </c>
      <c r="P85" s="139" t="str">
        <f>'CLASSIFICA ORDINATA'!N84</f>
        <v/>
      </c>
      <c r="Q85" s="12" t="str">
        <f>'CLASSIFICA ORDINATA'!O84</f>
        <v/>
      </c>
      <c r="R85" s="12" t="str">
        <f>'CLASSIFICA ORDINATA'!P84</f>
        <v/>
      </c>
      <c r="S85" s="12" t="str">
        <f>'CLASSIFICA ORDINATA'!Q84</f>
        <v/>
      </c>
      <c r="T85" s="139" t="str">
        <f>'CLASSIFICA ORDINATA'!R84</f>
        <v/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139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139" t="str">
        <f>'CLASSIFICA ORDINATA'!Z84</f>
        <v/>
      </c>
      <c r="AC85" s="140">
        <f>'CLASSIFICA ORDINATA'!AA84</f>
        <v>30</v>
      </c>
    </row>
    <row r="86" spans="1:29" ht="20" customHeight="1" x14ac:dyDescent="0.25">
      <c r="A86" s="135">
        <v>18</v>
      </c>
      <c r="B86" s="138" t="str">
        <f>'CLASSIFICA ORDINATA'!B85</f>
        <v>xRUA85x</v>
      </c>
      <c r="C86" s="127" t="str">
        <f>VLOOKUP(B86,nomi!B:C,2,FALSE)</f>
        <v>TLM_Le Rua’</v>
      </c>
      <c r="D86" s="127" t="str">
        <f>VLOOKUP(B86,nomi!B:G,6,FALSE)</f>
        <v>TLM</v>
      </c>
      <c r="E86" s="12" t="str">
        <f>'CLASSIFICA ORDINATA'!C85</f>
        <v/>
      </c>
      <c r="F86" s="12">
        <f>'CLASSIFICA ORDINATA'!D85</f>
        <v>12</v>
      </c>
      <c r="G86" s="12" t="str">
        <f>'CLASSIFICA ORDINATA'!E85</f>
        <v/>
      </c>
      <c r="H86" s="139">
        <f>'CLASSIFICA ORDINATA'!F85</f>
        <v>12</v>
      </c>
      <c r="I86" s="12" t="str">
        <f>'CLASSIFICA ORDINATA'!G85</f>
        <v/>
      </c>
      <c r="J86" s="12">
        <f>'CLASSIFICA ORDINATA'!H85</f>
        <v>16</v>
      </c>
      <c r="K86" s="12" t="str">
        <f>'CLASSIFICA ORDINATA'!I85</f>
        <v/>
      </c>
      <c r="L86" s="139">
        <f>'CLASSIFICA ORDINATA'!J85</f>
        <v>16</v>
      </c>
      <c r="M86" s="12" t="str">
        <f>'CLASSIFICA ORDINATA'!K85</f>
        <v/>
      </c>
      <c r="N86" s="12" t="str">
        <f>'CLASSIFICA ORDINATA'!L85</f>
        <v/>
      </c>
      <c r="O86" s="12" t="str">
        <f>'CLASSIFICA ORDINATA'!M85</f>
        <v/>
      </c>
      <c r="P86" s="139" t="str">
        <f>'CLASSIFICA ORDINATA'!N85</f>
        <v/>
      </c>
      <c r="Q86" s="12" t="str">
        <f>'CLASSIFICA ORDINATA'!O85</f>
        <v/>
      </c>
      <c r="R86" s="12" t="str">
        <f>'CLASSIFICA ORDINATA'!P85</f>
        <v/>
      </c>
      <c r="S86" s="12" t="str">
        <f>'CLASSIFICA ORDINATA'!Q85</f>
        <v/>
      </c>
      <c r="T86" s="139" t="str">
        <f>'CLASSIFICA ORDINATA'!R85</f>
        <v/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139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139" t="str">
        <f>'CLASSIFICA ORDINATA'!Z85</f>
        <v/>
      </c>
      <c r="AC86" s="140">
        <f>'CLASSIFICA ORDINATA'!AA85</f>
        <v>28</v>
      </c>
    </row>
    <row r="87" spans="1:29" ht="20" customHeight="1" x14ac:dyDescent="0.25">
      <c r="A87" s="135">
        <v>19</v>
      </c>
      <c r="B87" s="138" t="str">
        <f>'CLASSIFICA ORDINATA'!B86</f>
        <v>Mikedb__91__</v>
      </c>
      <c r="C87" s="127" t="str">
        <f>VLOOKUP(B87,nomi!B:C,2,FALSE)</f>
        <v>TLM-Mike91</v>
      </c>
      <c r="D87" s="127" t="str">
        <f>VLOOKUP(B87,nomi!B:G,6,FALSE)</f>
        <v>TLM</v>
      </c>
      <c r="E87" s="12" t="str">
        <f>'CLASSIFICA ORDINATA'!C86</f>
        <v/>
      </c>
      <c r="F87" s="12">
        <f>'CLASSIFICA ORDINATA'!D86</f>
        <v>12</v>
      </c>
      <c r="G87" s="12" t="str">
        <f>'CLASSIFICA ORDINATA'!E86</f>
        <v/>
      </c>
      <c r="H87" s="139">
        <f>'CLASSIFICA ORDINATA'!F86</f>
        <v>12</v>
      </c>
      <c r="I87" s="12" t="str">
        <f>'CLASSIFICA ORDINATA'!G86</f>
        <v/>
      </c>
      <c r="J87" s="12">
        <f>'CLASSIFICA ORDINATA'!H86</f>
        <v>14</v>
      </c>
      <c r="K87" s="12" t="str">
        <f>'CLASSIFICA ORDINATA'!I86</f>
        <v/>
      </c>
      <c r="L87" s="139">
        <f>'CLASSIFICA ORDINATA'!J86</f>
        <v>14</v>
      </c>
      <c r="M87" s="12" t="str">
        <f>'CLASSIFICA ORDINATA'!K86</f>
        <v/>
      </c>
      <c r="N87" s="12" t="str">
        <f>'CLASSIFICA ORDINATA'!L86</f>
        <v/>
      </c>
      <c r="O87" s="12" t="str">
        <f>'CLASSIFICA ORDINATA'!M86</f>
        <v/>
      </c>
      <c r="P87" s="139" t="str">
        <f>'CLASSIFICA ORDINATA'!N86</f>
        <v/>
      </c>
      <c r="Q87" s="12" t="str">
        <f>'CLASSIFICA ORDINATA'!O86</f>
        <v/>
      </c>
      <c r="R87" s="12" t="str">
        <f>'CLASSIFICA ORDINATA'!P86</f>
        <v/>
      </c>
      <c r="S87" s="12" t="str">
        <f>'CLASSIFICA ORDINATA'!Q86</f>
        <v/>
      </c>
      <c r="T87" s="139" t="str">
        <f>'CLASSIFICA ORDINATA'!R86</f>
        <v/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139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139" t="str">
        <f>'CLASSIFICA ORDINATA'!Z86</f>
        <v/>
      </c>
      <c r="AC87" s="140">
        <f>'CLASSIFICA ORDINATA'!AA86</f>
        <v>26</v>
      </c>
    </row>
    <row r="88" spans="1:29" ht="20" customHeight="1" x14ac:dyDescent="0.25">
      <c r="A88" s="135">
        <v>20</v>
      </c>
      <c r="B88" s="138" t="str">
        <f>'CLASSIFICA ORDINATA'!B87</f>
        <v>GTRC_Frenkmik93</v>
      </c>
      <c r="C88" s="127" t="str">
        <f>VLOOKUP(B88,nomi!B:C,2,FALSE)</f>
        <v>GTRC_FrenkMik93</v>
      </c>
      <c r="D88" s="127" t="str">
        <f>VLOOKUP(B88,nomi!B:G,6,FALSE)</f>
        <v>GTRC</v>
      </c>
      <c r="E88" s="12" t="str">
        <f>'CLASSIFICA ORDINATA'!C87</f>
        <v/>
      </c>
      <c r="F88" s="12">
        <f>'CLASSIFICA ORDINATA'!D87</f>
        <v>12</v>
      </c>
      <c r="G88" s="12">
        <f>'CLASSIFICA ORDINATA'!E87</f>
        <v>1</v>
      </c>
      <c r="H88" s="139">
        <f>'CLASSIFICA ORDINATA'!F87</f>
        <v>13</v>
      </c>
      <c r="I88" s="12" t="str">
        <f>'CLASSIFICA ORDINATA'!G87</f>
        <v/>
      </c>
      <c r="J88" s="12">
        <f>'CLASSIFICA ORDINATA'!H87</f>
        <v>12</v>
      </c>
      <c r="K88" s="12" t="str">
        <f>'CLASSIFICA ORDINATA'!I87</f>
        <v/>
      </c>
      <c r="L88" s="139">
        <f>'CLASSIFICA ORDINATA'!J87</f>
        <v>12</v>
      </c>
      <c r="M88" s="12" t="str">
        <f>'CLASSIFICA ORDINATA'!K87</f>
        <v/>
      </c>
      <c r="N88" s="12" t="str">
        <f>'CLASSIFICA ORDINATA'!L87</f>
        <v/>
      </c>
      <c r="O88" s="12" t="str">
        <f>'CLASSIFICA ORDINATA'!M87</f>
        <v/>
      </c>
      <c r="P88" s="139" t="str">
        <f>'CLASSIFICA ORDINATA'!N87</f>
        <v/>
      </c>
      <c r="Q88" s="12" t="str">
        <f>'CLASSIFICA ORDINATA'!O87</f>
        <v/>
      </c>
      <c r="R88" s="12" t="str">
        <f>'CLASSIFICA ORDINATA'!P87</f>
        <v/>
      </c>
      <c r="S88" s="12" t="str">
        <f>'CLASSIFICA ORDINATA'!Q87</f>
        <v/>
      </c>
      <c r="T88" s="139" t="str">
        <f>'CLASSIFICA ORDINATA'!R87</f>
        <v/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139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139" t="str">
        <f>'CLASSIFICA ORDINATA'!Z87</f>
        <v/>
      </c>
      <c r="AC88" s="140">
        <f>'CLASSIFICA ORDINATA'!AA87</f>
        <v>25</v>
      </c>
    </row>
    <row r="89" spans="1:29" ht="20" customHeight="1" x14ac:dyDescent="0.25">
      <c r="A89" s="135">
        <v>21</v>
      </c>
      <c r="B89" s="138" t="str">
        <f>'CLASSIFICA ORDINATA'!B88</f>
        <v>Rupetheking</v>
      </c>
      <c r="C89" s="127" t="str">
        <f>VLOOKUP(B89,nomi!B:C,2,FALSE)</f>
        <v xml:space="preserve">Tlm-rupetheking </v>
      </c>
      <c r="D89" s="127" t="str">
        <f>VLOOKUP(B89,nomi!B:G,6,FALSE)</f>
        <v>TLM</v>
      </c>
      <c r="E89" s="12" t="str">
        <f>'CLASSIFICA ORDINATA'!C88</f>
        <v/>
      </c>
      <c r="F89" s="12">
        <f>'CLASSIFICA ORDINATA'!D88</f>
        <v>3</v>
      </c>
      <c r="G89" s="12" t="str">
        <f>'CLASSIFICA ORDINATA'!E88</f>
        <v/>
      </c>
      <c r="H89" s="139">
        <f>'CLASSIFICA ORDINATA'!F88</f>
        <v>3</v>
      </c>
      <c r="I89" s="12" t="str">
        <f>'CLASSIFICA ORDINATA'!G88</f>
        <v/>
      </c>
      <c r="J89" s="12">
        <f>'CLASSIFICA ORDINATA'!H88</f>
        <v>20</v>
      </c>
      <c r="K89" s="12" t="str">
        <f>'CLASSIFICA ORDINATA'!I88</f>
        <v/>
      </c>
      <c r="L89" s="139">
        <f>'CLASSIFICA ORDINATA'!J88</f>
        <v>20</v>
      </c>
      <c r="M89" s="12" t="str">
        <f>'CLASSIFICA ORDINATA'!K88</f>
        <v/>
      </c>
      <c r="N89" s="12" t="str">
        <f>'CLASSIFICA ORDINATA'!L88</f>
        <v/>
      </c>
      <c r="O89" s="12" t="str">
        <f>'CLASSIFICA ORDINATA'!M88</f>
        <v/>
      </c>
      <c r="P89" s="139" t="str">
        <f>'CLASSIFICA ORDINATA'!N88</f>
        <v/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139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139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139" t="str">
        <f>'CLASSIFICA ORDINATA'!Z88</f>
        <v/>
      </c>
      <c r="AC89" s="140">
        <f>'CLASSIFICA ORDINATA'!AA88</f>
        <v>23</v>
      </c>
    </row>
    <row r="90" spans="1:29" ht="20" customHeight="1" x14ac:dyDescent="0.25">
      <c r="A90" s="135">
        <v>22</v>
      </c>
      <c r="B90" s="138" t="str">
        <f>'CLASSIFICA ORDINATA'!B89</f>
        <v>jet_morello</v>
      </c>
      <c r="C90" s="127" t="str">
        <f>VLOOKUP(B90,nomi!B:C,2,FALSE)</f>
        <v>Iaia angelo</v>
      </c>
      <c r="D90" s="127" t="str">
        <f>VLOOKUP(B90,nomi!B:G,6,FALSE)</f>
        <v>TLM</v>
      </c>
      <c r="E90" s="12" t="str">
        <f>'CLASSIFICA ORDINATA'!C89</f>
        <v/>
      </c>
      <c r="F90" s="12">
        <f>'CLASSIFICA ORDINATA'!D89</f>
        <v>12</v>
      </c>
      <c r="G90" s="12" t="str">
        <f>'CLASSIFICA ORDINATA'!E89</f>
        <v/>
      </c>
      <c r="H90" s="139">
        <f>'CLASSIFICA ORDINATA'!F89</f>
        <v>12</v>
      </c>
      <c r="I90" s="12" t="str">
        <f>'CLASSIFICA ORDINATA'!G89</f>
        <v/>
      </c>
      <c r="J90" s="12">
        <f>'CLASSIFICA ORDINATA'!H89</f>
        <v>10</v>
      </c>
      <c r="K90" s="12" t="str">
        <f>'CLASSIFICA ORDINATA'!I89</f>
        <v/>
      </c>
      <c r="L90" s="139">
        <f>'CLASSIFICA ORDINATA'!J89</f>
        <v>10</v>
      </c>
      <c r="M90" s="12" t="str">
        <f>'CLASSIFICA ORDINATA'!K89</f>
        <v/>
      </c>
      <c r="N90" s="12" t="str">
        <f>'CLASSIFICA ORDINATA'!L89</f>
        <v/>
      </c>
      <c r="O90" s="12" t="str">
        <f>'CLASSIFICA ORDINATA'!M89</f>
        <v/>
      </c>
      <c r="P90" s="139" t="str">
        <f>'CLASSIFICA ORDINATA'!N89</f>
        <v/>
      </c>
      <c r="Q90" s="12" t="str">
        <f>'CLASSIFICA ORDINATA'!O89</f>
        <v/>
      </c>
      <c r="R90" s="12" t="str">
        <f>'CLASSIFICA ORDINATA'!P89</f>
        <v/>
      </c>
      <c r="S90" s="12" t="str">
        <f>'CLASSIFICA ORDINATA'!Q89</f>
        <v/>
      </c>
      <c r="T90" s="139" t="str">
        <f>'CLASSIFICA ORDINATA'!R89</f>
        <v/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139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139" t="str">
        <f>'CLASSIFICA ORDINATA'!Z89</f>
        <v/>
      </c>
      <c r="AC90" s="140">
        <f>'CLASSIFICA ORDINATA'!AA89</f>
        <v>22</v>
      </c>
    </row>
    <row r="91" spans="1:29" ht="20" customHeight="1" x14ac:dyDescent="0.25">
      <c r="A91" s="135">
        <v>23</v>
      </c>
      <c r="B91" s="138" t="str">
        <f>'CLASSIFICA ORDINATA'!B90</f>
        <v>andvea_99</v>
      </c>
      <c r="C91" s="127" t="str">
        <f>VLOOKUP(B91,nomi!B:C,2,FALSE)</f>
        <v>TLM_andvea99</v>
      </c>
      <c r="D91" s="127" t="str">
        <f>VLOOKUP(B91,nomi!B:G,6,FALSE)</f>
        <v>TLM</v>
      </c>
      <c r="E91" s="12" t="str">
        <f>'CLASSIFICA ORDINATA'!C90</f>
        <v/>
      </c>
      <c r="F91" s="12" t="str">
        <f>'CLASSIFICA ORDINATA'!D90</f>
        <v/>
      </c>
      <c r="G91" s="12" t="str">
        <f>'CLASSIFICA ORDINATA'!E90</f>
        <v/>
      </c>
      <c r="H91" s="139" t="str">
        <f>'CLASSIFICA ORDINATA'!F90</f>
        <v/>
      </c>
      <c r="I91" s="12" t="str">
        <f>'CLASSIFICA ORDINATA'!G90</f>
        <v/>
      </c>
      <c r="J91" s="12">
        <f>'CLASSIFICA ORDINATA'!H90</f>
        <v>20</v>
      </c>
      <c r="K91" s="12" t="str">
        <f>'CLASSIFICA ORDINATA'!I90</f>
        <v/>
      </c>
      <c r="L91" s="139">
        <f>'CLASSIFICA ORDINATA'!J90</f>
        <v>20</v>
      </c>
      <c r="M91" s="12" t="str">
        <f>'CLASSIFICA ORDINATA'!K90</f>
        <v/>
      </c>
      <c r="N91" s="12" t="str">
        <f>'CLASSIFICA ORDINATA'!L90</f>
        <v/>
      </c>
      <c r="O91" s="12" t="str">
        <f>'CLASSIFICA ORDINATA'!M90</f>
        <v/>
      </c>
      <c r="P91" s="139" t="str">
        <f>'CLASSIFICA ORDINATA'!N90</f>
        <v/>
      </c>
      <c r="Q91" s="12" t="str">
        <f>'CLASSIFICA ORDINATA'!O90</f>
        <v/>
      </c>
      <c r="R91" s="12" t="str">
        <f>'CLASSIFICA ORDINATA'!P90</f>
        <v/>
      </c>
      <c r="S91" s="12" t="str">
        <f>'CLASSIFICA ORDINATA'!Q90</f>
        <v/>
      </c>
      <c r="T91" s="139" t="str">
        <f>'CLASSIFICA ORDINATA'!R90</f>
        <v/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139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139" t="str">
        <f>'CLASSIFICA ORDINATA'!Z90</f>
        <v/>
      </c>
      <c r="AC91" s="140">
        <f>'CLASSIFICA ORDINATA'!AA90</f>
        <v>20</v>
      </c>
    </row>
    <row r="92" spans="1:29" ht="20" customHeight="1" x14ac:dyDescent="0.25">
      <c r="A92" s="135">
        <v>24</v>
      </c>
      <c r="B92" s="138" t="str">
        <f>'CLASSIFICA ORDINATA'!B91</f>
        <v>Pennysss71</v>
      </c>
      <c r="C92" s="127" t="str">
        <f>VLOOKUP(B92,nomi!B:C,2,FALSE)</f>
        <v>D.Apicella</v>
      </c>
      <c r="D92" s="127" t="str">
        <f>VLOOKUP(B92,nomi!B:G,6,FALSE)</f>
        <v>RMT</v>
      </c>
      <c r="E92" s="12" t="str">
        <f>'CLASSIFICA ORDINATA'!C91</f>
        <v/>
      </c>
      <c r="F92" s="12" t="str">
        <f>'CLASSIFICA ORDINATA'!D91</f>
        <v/>
      </c>
      <c r="G92" s="12" t="str">
        <f>'CLASSIFICA ORDINATA'!E91</f>
        <v/>
      </c>
      <c r="H92" s="139" t="str">
        <f>'CLASSIFICA ORDINATA'!F91</f>
        <v/>
      </c>
      <c r="I92" s="12" t="str">
        <f>'CLASSIFICA ORDINATA'!G91</f>
        <v/>
      </c>
      <c r="J92" s="12">
        <f>'CLASSIFICA ORDINATA'!H91</f>
        <v>20</v>
      </c>
      <c r="K92" s="12" t="str">
        <f>'CLASSIFICA ORDINATA'!I91</f>
        <v/>
      </c>
      <c r="L92" s="139">
        <f>'CLASSIFICA ORDINATA'!J91</f>
        <v>20</v>
      </c>
      <c r="M92" s="12" t="str">
        <f>'CLASSIFICA ORDINATA'!K91</f>
        <v/>
      </c>
      <c r="N92" s="12" t="str">
        <f>'CLASSIFICA ORDINATA'!L91</f>
        <v/>
      </c>
      <c r="O92" s="12" t="str">
        <f>'CLASSIFICA ORDINATA'!M91</f>
        <v/>
      </c>
      <c r="P92" s="139" t="str">
        <f>'CLASSIFICA ORDINATA'!N91</f>
        <v/>
      </c>
      <c r="Q92" s="12" t="str">
        <f>'CLASSIFICA ORDINATA'!O91</f>
        <v/>
      </c>
      <c r="R92" s="12" t="str">
        <f>'CLASSIFICA ORDINATA'!P91</f>
        <v/>
      </c>
      <c r="S92" s="12" t="str">
        <f>'CLASSIFICA ORDINATA'!Q91</f>
        <v/>
      </c>
      <c r="T92" s="139" t="str">
        <f>'CLASSIFICA ORDINATA'!R91</f>
        <v/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139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139" t="str">
        <f>'CLASSIFICA ORDINATA'!Z91</f>
        <v/>
      </c>
      <c r="AC92" s="140">
        <f>'CLASSIFICA ORDINATA'!AA91</f>
        <v>20</v>
      </c>
    </row>
    <row r="93" spans="1:29" ht="20" customHeight="1" x14ac:dyDescent="0.25">
      <c r="A93" s="135">
        <v>25</v>
      </c>
      <c r="B93" s="138" t="str">
        <f>'CLASSIFICA ORDINATA'!B92</f>
        <v>Tonyroto74</v>
      </c>
      <c r="C93" s="127" t="str">
        <f>VLOOKUP(B93,nomi!B:C,2,FALSE)</f>
        <v>Tonyroto</v>
      </c>
      <c r="D93" s="127" t="str">
        <f>VLOOKUP(B93,nomi!B:G,6,FALSE)</f>
        <v>TLM</v>
      </c>
      <c r="E93" s="12" t="str">
        <f>'CLASSIFICA ORDINATA'!C92</f>
        <v/>
      </c>
      <c r="F93" s="12">
        <f>'CLASSIFICA ORDINATA'!D92</f>
        <v>10</v>
      </c>
      <c r="G93" s="12" t="str">
        <f>'CLASSIFICA ORDINATA'!E92</f>
        <v/>
      </c>
      <c r="H93" s="139">
        <f>'CLASSIFICA ORDINATA'!F92</f>
        <v>10</v>
      </c>
      <c r="I93" s="12" t="str">
        <f>'CLASSIFICA ORDINATA'!G92</f>
        <v/>
      </c>
      <c r="J93" s="12">
        <f>'CLASSIFICA ORDINATA'!H92</f>
        <v>10</v>
      </c>
      <c r="K93" s="12" t="str">
        <f>'CLASSIFICA ORDINATA'!I92</f>
        <v/>
      </c>
      <c r="L93" s="139">
        <f>'CLASSIFICA ORDINATA'!J92</f>
        <v>10</v>
      </c>
      <c r="M93" s="12" t="str">
        <f>'CLASSIFICA ORDINATA'!K92</f>
        <v/>
      </c>
      <c r="N93" s="12" t="str">
        <f>'CLASSIFICA ORDINATA'!L92</f>
        <v/>
      </c>
      <c r="O93" s="12" t="str">
        <f>'CLASSIFICA ORDINATA'!M92</f>
        <v/>
      </c>
      <c r="P93" s="139" t="str">
        <f>'CLASSIFICA ORDINATA'!N92</f>
        <v/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139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139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139" t="str">
        <f>'CLASSIFICA ORDINATA'!Z92</f>
        <v/>
      </c>
      <c r="AC93" s="140">
        <f>'CLASSIFICA ORDINATA'!AA92</f>
        <v>20</v>
      </c>
    </row>
    <row r="94" spans="1:29" ht="20" customHeight="1" x14ac:dyDescent="0.25">
      <c r="A94" s="135">
        <v>26</v>
      </c>
      <c r="B94" s="138" t="str">
        <f>'CLASSIFICA ORDINATA'!B93</f>
        <v>TLM_Sicily22</v>
      </c>
      <c r="C94" s="127" t="str">
        <f>VLOOKUP(B94,nomi!B:C,2,FALSE)</f>
        <v>M.Di Bartolo</v>
      </c>
      <c r="D94" s="127" t="str">
        <f>VLOOKUP(B94,nomi!B:G,6,FALSE)</f>
        <v>TLM</v>
      </c>
      <c r="E94" s="12" t="str">
        <f>'CLASSIFICA ORDINATA'!C93</f>
        <v/>
      </c>
      <c r="F94" s="12" t="str">
        <f>'CLASSIFICA ORDINATA'!D93</f>
        <v/>
      </c>
      <c r="G94" s="12" t="str">
        <f>'CLASSIFICA ORDINATA'!E93</f>
        <v/>
      </c>
      <c r="H94" s="139" t="str">
        <f>'CLASSIFICA ORDINATA'!F93</f>
        <v/>
      </c>
      <c r="I94" s="12" t="str">
        <f>'CLASSIFICA ORDINATA'!G93</f>
        <v/>
      </c>
      <c r="J94" s="12">
        <f>'CLASSIFICA ORDINATA'!H93</f>
        <v>18</v>
      </c>
      <c r="K94" s="12" t="str">
        <f>'CLASSIFICA ORDINATA'!I93</f>
        <v/>
      </c>
      <c r="L94" s="139">
        <f>'CLASSIFICA ORDINATA'!J93</f>
        <v>18</v>
      </c>
      <c r="M94" s="12" t="str">
        <f>'CLASSIFICA ORDINATA'!K93</f>
        <v/>
      </c>
      <c r="N94" s="12" t="str">
        <f>'CLASSIFICA ORDINATA'!L93</f>
        <v/>
      </c>
      <c r="O94" s="12" t="str">
        <f>'CLASSIFICA ORDINATA'!M93</f>
        <v/>
      </c>
      <c r="P94" s="139" t="str">
        <f>'CLASSIFICA ORDINATA'!N93</f>
        <v/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139" t="str">
        <f>'CLASSIFICA ORDINATA'!R93</f>
        <v/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139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139" t="str">
        <f>'CLASSIFICA ORDINATA'!Z93</f>
        <v/>
      </c>
      <c r="AC94" s="140">
        <f>'CLASSIFICA ORDINATA'!AA93</f>
        <v>18</v>
      </c>
    </row>
    <row r="95" spans="1:29" ht="20" customHeight="1" x14ac:dyDescent="0.25">
      <c r="A95" s="135">
        <v>27</v>
      </c>
      <c r="B95" s="138" t="str">
        <f>'CLASSIFICA ORDINATA'!B94</f>
        <v>TLM_michaelfox12</v>
      </c>
      <c r="C95" s="127" t="str">
        <f>VLOOKUP(B95,nomi!B:C,2,FALSE)</f>
        <v>TLM_michaelfox12</v>
      </c>
      <c r="D95" s="127" t="str">
        <f>VLOOKUP(B95,nomi!B:G,6,FALSE)</f>
        <v>TLM</v>
      </c>
      <c r="E95" s="12" t="str">
        <f>'CLASSIFICA ORDINATA'!C94</f>
        <v/>
      </c>
      <c r="F95" s="12">
        <f>'CLASSIFICA ORDINATA'!D94</f>
        <v>6</v>
      </c>
      <c r="G95" s="12" t="str">
        <f>'CLASSIFICA ORDINATA'!E94</f>
        <v/>
      </c>
      <c r="H95" s="139">
        <f>'CLASSIFICA ORDINATA'!F94</f>
        <v>6</v>
      </c>
      <c r="I95" s="12" t="str">
        <f>'CLASSIFICA ORDINATA'!G94</f>
        <v/>
      </c>
      <c r="J95" s="12">
        <f>'CLASSIFICA ORDINATA'!H94</f>
        <v>12</v>
      </c>
      <c r="K95" s="12" t="str">
        <f>'CLASSIFICA ORDINATA'!I94</f>
        <v/>
      </c>
      <c r="L95" s="139">
        <f>'CLASSIFICA ORDINATA'!J94</f>
        <v>12</v>
      </c>
      <c r="M95" s="12" t="str">
        <f>'CLASSIFICA ORDINATA'!K94</f>
        <v/>
      </c>
      <c r="N95" s="12" t="str">
        <f>'CLASSIFICA ORDINATA'!L94</f>
        <v/>
      </c>
      <c r="O95" s="12" t="str">
        <f>'CLASSIFICA ORDINATA'!M94</f>
        <v/>
      </c>
      <c r="P95" s="139" t="str">
        <f>'CLASSIFICA ORDINATA'!N94</f>
        <v/>
      </c>
      <c r="Q95" s="12" t="str">
        <f>'CLASSIFICA ORDINATA'!O94</f>
        <v/>
      </c>
      <c r="R95" s="12" t="str">
        <f>'CLASSIFICA ORDINATA'!P94</f>
        <v/>
      </c>
      <c r="S95" s="12" t="str">
        <f>'CLASSIFICA ORDINATA'!Q94</f>
        <v/>
      </c>
      <c r="T95" s="139" t="str">
        <f>'CLASSIFICA ORDINATA'!R94</f>
        <v/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139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139" t="str">
        <f>'CLASSIFICA ORDINATA'!Z94</f>
        <v/>
      </c>
      <c r="AC95" s="140">
        <f>'CLASSIFICA ORDINATA'!AA94</f>
        <v>18</v>
      </c>
    </row>
    <row r="96" spans="1:29" ht="20" customHeight="1" x14ac:dyDescent="0.25">
      <c r="A96" s="135">
        <v>28</v>
      </c>
      <c r="B96" s="138" t="str">
        <f>'CLASSIFICA ORDINATA'!B95</f>
        <v>Freshofthezone</v>
      </c>
      <c r="C96" s="127" t="str">
        <f>VLOOKUP(B96,nomi!B:C,2,FALSE)</f>
        <v>Frescodizona</v>
      </c>
      <c r="D96" s="127" t="str">
        <f>VLOOKUP(B96,nomi!B:G,6,FALSE)</f>
        <v>TLMA</v>
      </c>
      <c r="E96" s="12" t="str">
        <f>'CLASSIFICA ORDINATA'!C95</f>
        <v/>
      </c>
      <c r="F96" s="12">
        <f>'CLASSIFICA ORDINATA'!D95</f>
        <v>8</v>
      </c>
      <c r="G96" s="12" t="str">
        <f>'CLASSIFICA ORDINATA'!E95</f>
        <v/>
      </c>
      <c r="H96" s="139">
        <f>'CLASSIFICA ORDINATA'!F95</f>
        <v>8</v>
      </c>
      <c r="I96" s="12" t="str">
        <f>'CLASSIFICA ORDINATA'!G95</f>
        <v/>
      </c>
      <c r="J96" s="12">
        <f>'CLASSIFICA ORDINATA'!H95</f>
        <v>10</v>
      </c>
      <c r="K96" s="12" t="str">
        <f>'CLASSIFICA ORDINATA'!I95</f>
        <v/>
      </c>
      <c r="L96" s="139">
        <f>'CLASSIFICA ORDINATA'!J95</f>
        <v>10</v>
      </c>
      <c r="M96" s="12" t="str">
        <f>'CLASSIFICA ORDINATA'!K95</f>
        <v/>
      </c>
      <c r="N96" s="12" t="str">
        <f>'CLASSIFICA ORDINATA'!L95</f>
        <v/>
      </c>
      <c r="O96" s="12" t="str">
        <f>'CLASSIFICA ORDINATA'!M95</f>
        <v/>
      </c>
      <c r="P96" s="139" t="str">
        <f>'CLASSIFICA ORDINATA'!N95</f>
        <v/>
      </c>
      <c r="Q96" s="12" t="str">
        <f>'CLASSIFICA ORDINATA'!O95</f>
        <v/>
      </c>
      <c r="R96" s="12" t="str">
        <f>'CLASSIFICA ORDINATA'!P95</f>
        <v/>
      </c>
      <c r="S96" s="12" t="str">
        <f>'CLASSIFICA ORDINATA'!Q95</f>
        <v/>
      </c>
      <c r="T96" s="139" t="str">
        <f>'CLASSIFICA ORDINATA'!R95</f>
        <v/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139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139" t="str">
        <f>'CLASSIFICA ORDINATA'!Z95</f>
        <v/>
      </c>
      <c r="AC96" s="140">
        <f>'CLASSIFICA ORDINATA'!AA95</f>
        <v>18</v>
      </c>
    </row>
    <row r="97" spans="1:29" ht="20" customHeight="1" x14ac:dyDescent="0.25">
      <c r="A97" s="135">
        <v>29</v>
      </c>
      <c r="B97" s="138" t="str">
        <f>'CLASSIFICA ORDINATA'!B96</f>
        <v>Selpa974</v>
      </c>
      <c r="C97" s="127" t="str">
        <f>VLOOKUP(B97,nomi!B:C,2,FALSE)</f>
        <v>TLM_Selpa974_#88</v>
      </c>
      <c r="D97" s="127" t="str">
        <f>VLOOKUP(B97,nomi!B:G,6,FALSE)</f>
        <v>TLM</v>
      </c>
      <c r="E97" s="12" t="str">
        <f>'CLASSIFICA ORDINATA'!C96</f>
        <v/>
      </c>
      <c r="F97" s="12">
        <f>'CLASSIFICA ORDINATA'!D96</f>
        <v>16</v>
      </c>
      <c r="G97" s="12" t="str">
        <f>'CLASSIFICA ORDINATA'!E96</f>
        <v/>
      </c>
      <c r="H97" s="139">
        <f>'CLASSIFICA ORDINATA'!F96</f>
        <v>16</v>
      </c>
      <c r="I97" s="12" t="str">
        <f>'CLASSIFICA ORDINATA'!G96</f>
        <v/>
      </c>
      <c r="J97" s="12" t="str">
        <f>'CLASSIFICA ORDINATA'!H96</f>
        <v/>
      </c>
      <c r="K97" s="12" t="str">
        <f>'CLASSIFICA ORDINATA'!I96</f>
        <v/>
      </c>
      <c r="L97" s="139" t="str">
        <f>'CLASSIFICA ORDINATA'!J96</f>
        <v/>
      </c>
      <c r="M97" s="12" t="str">
        <f>'CLASSIFICA ORDINATA'!K96</f>
        <v/>
      </c>
      <c r="N97" s="12" t="str">
        <f>'CLASSIFICA ORDINATA'!L96</f>
        <v/>
      </c>
      <c r="O97" s="12" t="str">
        <f>'CLASSIFICA ORDINATA'!M96</f>
        <v/>
      </c>
      <c r="P97" s="139" t="str">
        <f>'CLASSIFICA ORDINATA'!N96</f>
        <v/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139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139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139" t="str">
        <f>'CLASSIFICA ORDINATA'!Z96</f>
        <v/>
      </c>
      <c r="AC97" s="140">
        <f>'CLASSIFICA ORDINATA'!AA96</f>
        <v>16</v>
      </c>
    </row>
    <row r="98" spans="1:29" ht="20" customHeight="1" x14ac:dyDescent="0.25">
      <c r="A98" s="135">
        <v>30</v>
      </c>
      <c r="B98" s="138" t="str">
        <f>'CLASSIFICA ORDINATA'!B97</f>
        <v>GTRC-ALERASATO74</v>
      </c>
      <c r="C98" s="127" t="str">
        <f>VLOOKUP(B98,nomi!B:C,2,FALSE)</f>
        <v xml:space="preserve">Gtrc_AleRasato </v>
      </c>
      <c r="D98" s="127" t="str">
        <f>VLOOKUP(B98,nomi!B:G,6,FALSE)</f>
        <v>GTRC</v>
      </c>
      <c r="E98" s="12" t="str">
        <f>'CLASSIFICA ORDINATA'!C97</f>
        <v/>
      </c>
      <c r="F98" s="12">
        <f>'CLASSIFICA ORDINATA'!D97</f>
        <v>8</v>
      </c>
      <c r="G98" s="12" t="str">
        <f>'CLASSIFICA ORDINATA'!E97</f>
        <v/>
      </c>
      <c r="H98" s="139">
        <f>'CLASSIFICA ORDINATA'!F97</f>
        <v>8</v>
      </c>
      <c r="I98" s="12" t="str">
        <f>'CLASSIFICA ORDINATA'!G97</f>
        <v/>
      </c>
      <c r="J98" s="12">
        <f>'CLASSIFICA ORDINATA'!H97</f>
        <v>8</v>
      </c>
      <c r="K98" s="12" t="str">
        <f>'CLASSIFICA ORDINATA'!I97</f>
        <v/>
      </c>
      <c r="L98" s="139">
        <f>'CLASSIFICA ORDINATA'!J97</f>
        <v>8</v>
      </c>
      <c r="M98" s="12" t="str">
        <f>'CLASSIFICA ORDINATA'!K97</f>
        <v/>
      </c>
      <c r="N98" s="12" t="str">
        <f>'CLASSIFICA ORDINATA'!L97</f>
        <v/>
      </c>
      <c r="O98" s="12" t="str">
        <f>'CLASSIFICA ORDINATA'!M97</f>
        <v/>
      </c>
      <c r="P98" s="139" t="str">
        <f>'CLASSIFICA ORDINATA'!N97</f>
        <v/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139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139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139" t="str">
        <f>'CLASSIFICA ORDINATA'!Z97</f>
        <v/>
      </c>
      <c r="AC98" s="140">
        <f>'CLASSIFICA ORDINATA'!AA97</f>
        <v>16</v>
      </c>
    </row>
    <row r="99" spans="1:29" ht="20" customHeight="1" x14ac:dyDescent="0.25">
      <c r="A99" s="135">
        <v>31</v>
      </c>
      <c r="B99" s="138" t="str">
        <f>'CLASSIFICA ORDINATA'!B98</f>
        <v>GTRC_AMALA_ETNA</v>
      </c>
      <c r="C99" s="127" t="str">
        <f>VLOOKUP(B99,nomi!B:C,2,FALSE)</f>
        <v>GTRC_AMALA_ETNA</v>
      </c>
      <c r="D99" s="127" t="str">
        <f>VLOOKUP(B99,nomi!B:G,6,FALSE)</f>
        <v>GTRC</v>
      </c>
      <c r="E99" s="12" t="str">
        <f>'CLASSIFICA ORDINATA'!C98</f>
        <v/>
      </c>
      <c r="F99" s="12">
        <f>'CLASSIFICA ORDINATA'!D98</f>
        <v>10</v>
      </c>
      <c r="G99" s="12" t="str">
        <f>'CLASSIFICA ORDINATA'!E98</f>
        <v/>
      </c>
      <c r="H99" s="139">
        <f>'CLASSIFICA ORDINATA'!F98</f>
        <v>10</v>
      </c>
      <c r="I99" s="12" t="str">
        <f>'CLASSIFICA ORDINATA'!G98</f>
        <v/>
      </c>
      <c r="J99" s="12">
        <f>'CLASSIFICA ORDINATA'!H98</f>
        <v>6</v>
      </c>
      <c r="K99" s="12" t="str">
        <f>'CLASSIFICA ORDINATA'!I98</f>
        <v/>
      </c>
      <c r="L99" s="139">
        <f>'CLASSIFICA ORDINATA'!J98</f>
        <v>6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139" t="str">
        <f>'CLASSIFICA ORDINATA'!N98</f>
        <v/>
      </c>
      <c r="Q99" s="12" t="str">
        <f>'CLASSIFICA ORDINATA'!O98</f>
        <v/>
      </c>
      <c r="R99" s="12" t="str">
        <f>'CLASSIFICA ORDINATA'!P98</f>
        <v/>
      </c>
      <c r="S99" s="12" t="str">
        <f>'CLASSIFICA ORDINATA'!Q98</f>
        <v/>
      </c>
      <c r="T99" s="139" t="str">
        <f>'CLASSIFICA ORDINATA'!R98</f>
        <v/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139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139" t="str">
        <f>'CLASSIFICA ORDINATA'!Z98</f>
        <v/>
      </c>
      <c r="AC99" s="140">
        <f>'CLASSIFICA ORDINATA'!AA98</f>
        <v>16</v>
      </c>
    </row>
    <row r="100" spans="1:29" ht="20" customHeight="1" x14ac:dyDescent="0.25">
      <c r="A100" s="135">
        <v>32</v>
      </c>
      <c r="B100" s="138" t="str">
        <f>'CLASSIFICA ORDINATA'!B99</f>
        <v>Liotru1979</v>
      </c>
      <c r="C100" s="127" t="str">
        <f>VLOOKUP(B100,nomi!B:C,2,FALSE)</f>
        <v xml:space="preserve">TLM Max </v>
      </c>
      <c r="D100" s="127" t="str">
        <f>VLOOKUP(B100,nomi!B:G,6,FALSE)</f>
        <v>TLM</v>
      </c>
      <c r="E100" s="12" t="str">
        <f>'CLASSIFICA ORDINATA'!C99</f>
        <v/>
      </c>
      <c r="F100" s="12">
        <f>'CLASSIFICA ORDINATA'!D99</f>
        <v>8</v>
      </c>
      <c r="G100" s="12" t="str">
        <f>'CLASSIFICA ORDINATA'!E99</f>
        <v/>
      </c>
      <c r="H100" s="139">
        <f>'CLASSIFICA ORDINATA'!F99</f>
        <v>8</v>
      </c>
      <c r="I100" s="12" t="str">
        <f>'CLASSIFICA ORDINATA'!G99</f>
        <v/>
      </c>
      <c r="J100" s="12">
        <f>'CLASSIFICA ORDINATA'!H99</f>
        <v>8</v>
      </c>
      <c r="K100" s="12" t="str">
        <f>'CLASSIFICA ORDINATA'!I99</f>
        <v/>
      </c>
      <c r="L100" s="139">
        <f>'CLASSIFICA ORDINATA'!J99</f>
        <v>8</v>
      </c>
      <c r="M100" s="12" t="str">
        <f>'CLASSIFICA ORDINATA'!K99</f>
        <v/>
      </c>
      <c r="N100" s="12" t="str">
        <f>'CLASSIFICA ORDINATA'!L99</f>
        <v/>
      </c>
      <c r="O100" s="12" t="str">
        <f>'CLASSIFICA ORDINATA'!M99</f>
        <v/>
      </c>
      <c r="P100" s="139" t="str">
        <f>'CLASSIFICA ORDINATA'!N99</f>
        <v/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139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139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139" t="str">
        <f>'CLASSIFICA ORDINATA'!Z99</f>
        <v/>
      </c>
      <c r="AC100" s="140">
        <f>'CLASSIFICA ORDINATA'!AA99</f>
        <v>16</v>
      </c>
    </row>
    <row r="101" spans="1:29" ht="20" customHeight="1" x14ac:dyDescent="0.25">
      <c r="A101" s="135">
        <v>33</v>
      </c>
      <c r="B101" s="138" t="str">
        <f>'CLASSIFICA ORDINATA'!B100</f>
        <v>madonte</v>
      </c>
      <c r="C101" s="127" t="str">
        <f>VLOOKUP(B101,nomi!B:C,2,FALSE)</f>
        <v>GTRC_madonte</v>
      </c>
      <c r="D101" s="127" t="str">
        <f>VLOOKUP(B101,nomi!B:G,6,FALSE)</f>
        <v>GTRC</v>
      </c>
      <c r="E101" s="12" t="str">
        <f>'CLASSIFICA ORDINATA'!C100</f>
        <v/>
      </c>
      <c r="F101" s="12">
        <f>'CLASSIFICA ORDINATA'!D100</f>
        <v>10</v>
      </c>
      <c r="G101" s="12" t="str">
        <f>'CLASSIFICA ORDINATA'!E100</f>
        <v/>
      </c>
      <c r="H101" s="139">
        <f>'CLASSIFICA ORDINATA'!F100</f>
        <v>10</v>
      </c>
      <c r="I101" s="12" t="str">
        <f>'CLASSIFICA ORDINATA'!G100</f>
        <v/>
      </c>
      <c r="J101" s="12">
        <f>'CLASSIFICA ORDINATA'!H100</f>
        <v>6</v>
      </c>
      <c r="K101" s="12" t="str">
        <f>'CLASSIFICA ORDINATA'!I100</f>
        <v/>
      </c>
      <c r="L101" s="139">
        <f>'CLASSIFICA ORDINATA'!J100</f>
        <v>6</v>
      </c>
      <c r="M101" s="12" t="str">
        <f>'CLASSIFICA ORDINATA'!K100</f>
        <v/>
      </c>
      <c r="N101" s="12" t="str">
        <f>'CLASSIFICA ORDINATA'!L100</f>
        <v/>
      </c>
      <c r="O101" s="12" t="str">
        <f>'CLASSIFICA ORDINATA'!M100</f>
        <v/>
      </c>
      <c r="P101" s="139" t="str">
        <f>'CLASSIFICA ORDINATA'!N100</f>
        <v/>
      </c>
      <c r="Q101" s="12" t="str">
        <f>'CLASSIFICA ORDINATA'!O100</f>
        <v/>
      </c>
      <c r="R101" s="12" t="str">
        <f>'CLASSIFICA ORDINATA'!P100</f>
        <v/>
      </c>
      <c r="S101" s="12" t="str">
        <f>'CLASSIFICA ORDINATA'!Q100</f>
        <v/>
      </c>
      <c r="T101" s="139" t="str">
        <f>'CLASSIFICA ORDINATA'!R100</f>
        <v/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139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139" t="str">
        <f>'CLASSIFICA ORDINATA'!Z100</f>
        <v/>
      </c>
      <c r="AC101" s="140">
        <f>'CLASSIFICA ORDINATA'!AA100</f>
        <v>16</v>
      </c>
    </row>
    <row r="102" spans="1:29" ht="20" customHeight="1" x14ac:dyDescent="0.25">
      <c r="A102" s="135">
        <v>34</v>
      </c>
      <c r="B102" s="138" t="str">
        <f>'CLASSIFICA ORDINATA'!B101</f>
        <v>Silentium884</v>
      </c>
      <c r="C102" s="127" t="str">
        <f>VLOOKUP(B102,nomi!B:C,2,FALSE)</f>
        <v>TLM_Sile</v>
      </c>
      <c r="D102" s="127" t="str">
        <f>VLOOKUP(B102,nomi!B:G,6,FALSE)</f>
        <v>TLM</v>
      </c>
      <c r="E102" s="12" t="str">
        <f>'CLASSIFICA ORDINATA'!C101</f>
        <v/>
      </c>
      <c r="F102" s="12">
        <f>'CLASSIFICA ORDINATA'!D101</f>
        <v>16</v>
      </c>
      <c r="G102" s="12" t="str">
        <f>'CLASSIFICA ORDINATA'!E101</f>
        <v/>
      </c>
      <c r="H102" s="139">
        <f>'CLASSIFICA ORDINATA'!F101</f>
        <v>16</v>
      </c>
      <c r="I102" s="12" t="str">
        <f>'CLASSIFICA ORDINATA'!G101</f>
        <v/>
      </c>
      <c r="J102" s="12" t="str">
        <f>'CLASSIFICA ORDINATA'!H101</f>
        <v/>
      </c>
      <c r="K102" s="12" t="str">
        <f>'CLASSIFICA ORDINATA'!I101</f>
        <v/>
      </c>
      <c r="L102" s="139" t="str">
        <f>'CLASSIFICA ORDINATA'!J101</f>
        <v/>
      </c>
      <c r="M102" s="12" t="str">
        <f>'CLASSIFICA ORDINATA'!K101</f>
        <v/>
      </c>
      <c r="N102" s="12" t="str">
        <f>'CLASSIFICA ORDINATA'!L101</f>
        <v/>
      </c>
      <c r="O102" s="12" t="str">
        <f>'CLASSIFICA ORDINATA'!M101</f>
        <v/>
      </c>
      <c r="P102" s="139" t="str">
        <f>'CLASSIFICA ORDINATA'!N101</f>
        <v/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139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139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139" t="str">
        <f>'CLASSIFICA ORDINATA'!Z101</f>
        <v/>
      </c>
      <c r="AC102" s="140">
        <f>'CLASSIFICA ORDINATA'!AA101</f>
        <v>16</v>
      </c>
    </row>
    <row r="103" spans="1:29" ht="20" customHeight="1" x14ac:dyDescent="0.25">
      <c r="A103" s="135">
        <v>35</v>
      </c>
      <c r="B103" s="138" t="str">
        <f>'CLASSIFICA ORDINATA'!B102</f>
        <v>Dani_CT1946</v>
      </c>
      <c r="C103" s="127" t="str">
        <f>VLOOKUP(B103,nomi!B:C,2,FALSE)</f>
        <v>Danict1946</v>
      </c>
      <c r="D103" s="127" t="str">
        <f>VLOOKUP(B103,nomi!B:G,6,FALSE)</f>
        <v>CSC</v>
      </c>
      <c r="E103" s="12" t="str">
        <f>'CLASSIFICA ORDINATA'!C102</f>
        <v/>
      </c>
      <c r="F103" s="12">
        <f>'CLASSIFICA ORDINATA'!D102</f>
        <v>8</v>
      </c>
      <c r="G103" s="12" t="str">
        <f>'CLASSIFICA ORDINATA'!E102</f>
        <v/>
      </c>
      <c r="H103" s="139">
        <f>'CLASSIFICA ORDINATA'!F102</f>
        <v>8</v>
      </c>
      <c r="I103" s="12" t="str">
        <f>'CLASSIFICA ORDINATA'!G102</f>
        <v/>
      </c>
      <c r="J103" s="12">
        <f>'CLASSIFICA ORDINATA'!H102</f>
        <v>8</v>
      </c>
      <c r="K103" s="12" t="str">
        <f>'CLASSIFICA ORDINATA'!I102</f>
        <v/>
      </c>
      <c r="L103" s="139">
        <f>'CLASSIFICA ORDINATA'!J102</f>
        <v>8</v>
      </c>
      <c r="M103" s="12" t="str">
        <f>'CLASSIFICA ORDINATA'!K102</f>
        <v/>
      </c>
      <c r="N103" s="12" t="str">
        <f>'CLASSIFICA ORDINATA'!L102</f>
        <v/>
      </c>
      <c r="O103" s="12" t="str">
        <f>'CLASSIFICA ORDINATA'!M102</f>
        <v/>
      </c>
      <c r="P103" s="139" t="str">
        <f>'CLASSIFICA ORDINATA'!N102</f>
        <v/>
      </c>
      <c r="Q103" s="12" t="str">
        <f>'CLASSIFICA ORDINATA'!O102</f>
        <v/>
      </c>
      <c r="R103" s="12" t="str">
        <f>'CLASSIFICA ORDINATA'!P102</f>
        <v/>
      </c>
      <c r="S103" s="12" t="str">
        <f>'CLASSIFICA ORDINATA'!Q102</f>
        <v/>
      </c>
      <c r="T103" s="139" t="str">
        <f>'CLASSIFICA ORDINATA'!R102</f>
        <v/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139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139" t="str">
        <f>'CLASSIFICA ORDINATA'!Z102</f>
        <v/>
      </c>
      <c r="AC103" s="140">
        <f>'CLASSIFICA ORDINATA'!AA102</f>
        <v>16</v>
      </c>
    </row>
    <row r="104" spans="1:29" ht="20" customHeight="1" x14ac:dyDescent="0.25">
      <c r="A104" s="135">
        <v>36</v>
      </c>
      <c r="B104" s="138" t="str">
        <f>'CLASSIFICA ORDINATA'!B103</f>
        <v>Stefanostefanof</v>
      </c>
      <c r="C104" s="127" t="str">
        <f>VLOOKUP(B104,nomi!B:C,2,FALSE)</f>
        <v>CSC_stefano</v>
      </c>
      <c r="D104" s="127" t="str">
        <f>VLOOKUP(B104,nomi!B:G,6,FALSE)</f>
        <v>CSC</v>
      </c>
      <c r="E104" s="12" t="str">
        <f>'CLASSIFICA ORDINATA'!C103</f>
        <v/>
      </c>
      <c r="F104" s="12">
        <f>'CLASSIFICA ORDINATA'!D103</f>
        <v>10</v>
      </c>
      <c r="G104" s="12" t="str">
        <f>'CLASSIFICA ORDINATA'!E103</f>
        <v/>
      </c>
      <c r="H104" s="139">
        <f>'CLASSIFICA ORDINATA'!F103</f>
        <v>10</v>
      </c>
      <c r="I104" s="12" t="str">
        <f>'CLASSIFICA ORDINATA'!G103</f>
        <v/>
      </c>
      <c r="J104" s="12">
        <f>'CLASSIFICA ORDINATA'!H103</f>
        <v>5</v>
      </c>
      <c r="K104" s="12" t="str">
        <f>'CLASSIFICA ORDINATA'!I103</f>
        <v/>
      </c>
      <c r="L104" s="139">
        <f>'CLASSIFICA ORDINATA'!J103</f>
        <v>5</v>
      </c>
      <c r="M104" s="12" t="str">
        <f>'CLASSIFICA ORDINATA'!K103</f>
        <v/>
      </c>
      <c r="N104" s="12" t="str">
        <f>'CLASSIFICA ORDINATA'!L103</f>
        <v/>
      </c>
      <c r="O104" s="12" t="str">
        <f>'CLASSIFICA ORDINATA'!M103</f>
        <v/>
      </c>
      <c r="P104" s="139" t="str">
        <f>'CLASSIFICA ORDINATA'!N103</f>
        <v/>
      </c>
      <c r="Q104" s="12" t="str">
        <f>'CLASSIFICA ORDINATA'!O103</f>
        <v/>
      </c>
      <c r="R104" s="12" t="str">
        <f>'CLASSIFICA ORDINATA'!P103</f>
        <v/>
      </c>
      <c r="S104" s="12" t="str">
        <f>'CLASSIFICA ORDINATA'!Q103</f>
        <v/>
      </c>
      <c r="T104" s="139" t="str">
        <f>'CLASSIFICA ORDINATA'!R103</f>
        <v/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139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139" t="str">
        <f>'CLASSIFICA ORDINATA'!Z103</f>
        <v/>
      </c>
      <c r="AC104" s="140">
        <f>'CLASSIFICA ORDINATA'!AA103</f>
        <v>15</v>
      </c>
    </row>
    <row r="105" spans="1:29" ht="20" customHeight="1" x14ac:dyDescent="0.25">
      <c r="A105" s="135">
        <v>37</v>
      </c>
      <c r="B105" s="138" t="str">
        <f>'CLASSIFICA ORDINATA'!B104</f>
        <v>DCT-bazzo</v>
      </c>
      <c r="C105" s="127" t="str">
        <f>VLOOKUP(B105,nomi!B:C,2,FALSE)</f>
        <v>Mister Bazzo</v>
      </c>
      <c r="D105" s="127" t="str">
        <f>VLOOKUP(B105,nomi!B:G,6,FALSE)</f>
        <v>DCT</v>
      </c>
      <c r="E105" s="12" t="str">
        <f>'CLASSIFICA ORDINATA'!C104</f>
        <v/>
      </c>
      <c r="F105" s="12">
        <f>'CLASSIFICA ORDINATA'!D104</f>
        <v>14</v>
      </c>
      <c r="G105" s="12" t="str">
        <f>'CLASSIFICA ORDINATA'!E104</f>
        <v/>
      </c>
      <c r="H105" s="139">
        <f>'CLASSIFICA ORDINATA'!F104</f>
        <v>14</v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139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139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139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139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139" t="str">
        <f>'CLASSIFICA ORDINATA'!Z104</f>
        <v/>
      </c>
      <c r="AC105" s="140">
        <f>'CLASSIFICA ORDINATA'!AA104</f>
        <v>14</v>
      </c>
    </row>
    <row r="106" spans="1:29" ht="20" customHeight="1" x14ac:dyDescent="0.25">
      <c r="A106" s="135">
        <v>38</v>
      </c>
      <c r="B106" s="138" t="str">
        <f>'CLASSIFICA ORDINATA'!B105</f>
        <v>Talsigiano</v>
      </c>
      <c r="C106" s="127" t="str">
        <f>VLOOKUP(B106,nomi!B:C,2,FALSE)</f>
        <v xml:space="preserve">Talsigiano </v>
      </c>
      <c r="D106" s="127" t="str">
        <f>VLOOKUP(B106,nomi!B:G,6,FALSE)</f>
        <v>TLMA</v>
      </c>
      <c r="E106" s="12" t="str">
        <f>'CLASSIFICA ORDINATA'!C105</f>
        <v/>
      </c>
      <c r="F106" s="12">
        <f>'CLASSIFICA ORDINATA'!D105</f>
        <v>5</v>
      </c>
      <c r="G106" s="12" t="str">
        <f>'CLASSIFICA ORDINATA'!E105</f>
        <v/>
      </c>
      <c r="H106" s="139">
        <f>'CLASSIFICA ORDINATA'!F105</f>
        <v>5</v>
      </c>
      <c r="I106" s="12" t="str">
        <f>'CLASSIFICA ORDINATA'!G105</f>
        <v/>
      </c>
      <c r="J106" s="12">
        <f>'CLASSIFICA ORDINATA'!H105</f>
        <v>8</v>
      </c>
      <c r="K106" s="12" t="str">
        <f>'CLASSIFICA ORDINATA'!I105</f>
        <v/>
      </c>
      <c r="L106" s="139">
        <f>'CLASSIFICA ORDINATA'!J105</f>
        <v>8</v>
      </c>
      <c r="M106" s="12" t="str">
        <f>'CLASSIFICA ORDINATA'!K105</f>
        <v/>
      </c>
      <c r="N106" s="12" t="str">
        <f>'CLASSIFICA ORDINATA'!L105</f>
        <v/>
      </c>
      <c r="O106" s="12" t="str">
        <f>'CLASSIFICA ORDINATA'!M105</f>
        <v/>
      </c>
      <c r="P106" s="139" t="str">
        <f>'CLASSIFICA ORDINATA'!N105</f>
        <v/>
      </c>
      <c r="Q106" s="12" t="str">
        <f>'CLASSIFICA ORDINATA'!O105</f>
        <v/>
      </c>
      <c r="R106" s="12" t="str">
        <f>'CLASSIFICA ORDINATA'!P105</f>
        <v/>
      </c>
      <c r="S106" s="12" t="str">
        <f>'CLASSIFICA ORDINATA'!Q105</f>
        <v/>
      </c>
      <c r="T106" s="139" t="str">
        <f>'CLASSIFICA ORDINATA'!R105</f>
        <v/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139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139" t="str">
        <f>'CLASSIFICA ORDINATA'!Z105</f>
        <v/>
      </c>
      <c r="AC106" s="140">
        <f>'CLASSIFICA ORDINATA'!AA105</f>
        <v>13</v>
      </c>
    </row>
    <row r="107" spans="1:29" ht="20" customHeight="1" x14ac:dyDescent="0.25">
      <c r="A107" s="135">
        <v>39</v>
      </c>
      <c r="B107" s="138" t="str">
        <f>'CLASSIFICA ORDINATA'!B106</f>
        <v>Blokkobubbles</v>
      </c>
      <c r="C107" s="127" t="str">
        <f>VLOOKUP(B107,nomi!B:C,2,FALSE)</f>
        <v>Blokko</v>
      </c>
      <c r="D107" s="127" t="str">
        <f>VLOOKUP(B107,nomi!B:G,6,FALSE)</f>
        <v>TLMA</v>
      </c>
      <c r="E107" s="12" t="str">
        <f>'CLASSIFICA ORDINATA'!C106</f>
        <v/>
      </c>
      <c r="F107" s="12">
        <f>'CLASSIFICA ORDINATA'!D106</f>
        <v>6</v>
      </c>
      <c r="G107" s="12" t="str">
        <f>'CLASSIFICA ORDINATA'!E106</f>
        <v/>
      </c>
      <c r="H107" s="139">
        <f>'CLASSIFICA ORDINATA'!F106</f>
        <v>6</v>
      </c>
      <c r="I107" s="12" t="str">
        <f>'CLASSIFICA ORDINATA'!G106</f>
        <v/>
      </c>
      <c r="J107" s="12">
        <f>'CLASSIFICA ORDINATA'!H106</f>
        <v>5</v>
      </c>
      <c r="K107" s="12" t="str">
        <f>'CLASSIFICA ORDINATA'!I106</f>
        <v/>
      </c>
      <c r="L107" s="139">
        <f>'CLASSIFICA ORDINATA'!J106</f>
        <v>5</v>
      </c>
      <c r="M107" s="12" t="str">
        <f>'CLASSIFICA ORDINATA'!K106</f>
        <v/>
      </c>
      <c r="N107" s="12" t="str">
        <f>'CLASSIFICA ORDINATA'!L106</f>
        <v/>
      </c>
      <c r="O107" s="12" t="str">
        <f>'CLASSIFICA ORDINATA'!M106</f>
        <v/>
      </c>
      <c r="P107" s="139" t="str">
        <f>'CLASSIFICA ORDINATA'!N106</f>
        <v/>
      </c>
      <c r="Q107" s="12" t="str">
        <f>'CLASSIFICA ORDINATA'!O106</f>
        <v/>
      </c>
      <c r="R107" s="12" t="str">
        <f>'CLASSIFICA ORDINATA'!P106</f>
        <v/>
      </c>
      <c r="S107" s="12" t="str">
        <f>'CLASSIFICA ORDINATA'!Q106</f>
        <v/>
      </c>
      <c r="T107" s="139" t="str">
        <f>'CLASSIFICA ORDINATA'!R106</f>
        <v/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139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139" t="str">
        <f>'CLASSIFICA ORDINATA'!Z106</f>
        <v/>
      </c>
      <c r="AC107" s="140">
        <f>'CLASSIFICA ORDINATA'!AA106</f>
        <v>11</v>
      </c>
    </row>
    <row r="108" spans="1:29" ht="20" customHeight="1" x14ac:dyDescent="0.25">
      <c r="A108" s="135">
        <v>40</v>
      </c>
      <c r="B108" s="138" t="str">
        <f>'CLASSIFICA ORDINATA'!B107</f>
        <v>Cjcerbola</v>
      </c>
      <c r="C108" s="127" t="str">
        <f>VLOOKUP(B108,nomi!B:C,2,FALSE)</f>
        <v>Dct_Cjcerbola</v>
      </c>
      <c r="D108" s="127" t="str">
        <f>VLOOKUP(B108,nomi!B:G,6,FALSE)</f>
        <v>DCT</v>
      </c>
      <c r="E108" s="12" t="str">
        <f>'CLASSIFICA ORDINATA'!C107</f>
        <v/>
      </c>
      <c r="F108" s="12">
        <f>'CLASSIFICA ORDINATA'!D107</f>
        <v>6</v>
      </c>
      <c r="G108" s="12" t="str">
        <f>'CLASSIFICA ORDINATA'!E107</f>
        <v/>
      </c>
      <c r="H108" s="139">
        <f>'CLASSIFICA ORDINATA'!F107</f>
        <v>6</v>
      </c>
      <c r="I108" s="12" t="str">
        <f>'CLASSIFICA ORDINATA'!G107</f>
        <v/>
      </c>
      <c r="J108" s="12">
        <f>'CLASSIFICA ORDINATA'!H107</f>
        <v>5</v>
      </c>
      <c r="K108" s="12" t="str">
        <f>'CLASSIFICA ORDINATA'!I107</f>
        <v/>
      </c>
      <c r="L108" s="139">
        <f>'CLASSIFICA ORDINATA'!J107</f>
        <v>5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139" t="str">
        <f>'CLASSIFICA ORDINATA'!N107</f>
        <v/>
      </c>
      <c r="Q108" s="12" t="str">
        <f>'CLASSIFICA ORDINATA'!O107</f>
        <v/>
      </c>
      <c r="R108" s="12" t="str">
        <f>'CLASSIFICA ORDINATA'!P107</f>
        <v/>
      </c>
      <c r="S108" s="12" t="str">
        <f>'CLASSIFICA ORDINATA'!Q107</f>
        <v/>
      </c>
      <c r="T108" s="139" t="str">
        <f>'CLASSIFICA ORDINATA'!R107</f>
        <v/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139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139" t="str">
        <f>'CLASSIFICA ORDINATA'!Z107</f>
        <v/>
      </c>
      <c r="AC108" s="140">
        <f>'CLASSIFICA ORDINATA'!AA107</f>
        <v>11</v>
      </c>
    </row>
    <row r="109" spans="1:29" ht="20" customHeight="1" x14ac:dyDescent="0.25">
      <c r="A109" s="135">
        <v>41</v>
      </c>
      <c r="B109" s="138" t="str">
        <f>'CLASSIFICA ORDINATA'!B108</f>
        <v>TeoDaniricky2000</v>
      </c>
      <c r="C109" s="127" t="str">
        <f>VLOOKUP(B109,nomi!B:C,2,FALSE)</f>
        <v>TeoDaniricky2000</v>
      </c>
      <c r="D109" s="127" t="str">
        <f>VLOOKUP(B109,nomi!B:G,6,FALSE)</f>
        <v>TLMA</v>
      </c>
      <c r="E109" s="12" t="str">
        <f>'CLASSIFICA ORDINATA'!C108</f>
        <v/>
      </c>
      <c r="F109" s="12">
        <f>'CLASSIFICA ORDINATA'!D108</f>
        <v>4</v>
      </c>
      <c r="G109" s="12" t="str">
        <f>'CLASSIFICA ORDINATA'!E108</f>
        <v/>
      </c>
      <c r="H109" s="139">
        <f>'CLASSIFICA ORDINATA'!F108</f>
        <v>4</v>
      </c>
      <c r="I109" s="12" t="str">
        <f>'CLASSIFICA ORDINATA'!G108</f>
        <v/>
      </c>
      <c r="J109" s="12">
        <f>'CLASSIFICA ORDINATA'!H108</f>
        <v>6</v>
      </c>
      <c r="K109" s="12" t="str">
        <f>'CLASSIFICA ORDINATA'!I108</f>
        <v/>
      </c>
      <c r="L109" s="139">
        <f>'CLASSIFICA ORDINATA'!J108</f>
        <v>6</v>
      </c>
      <c r="M109" s="12" t="str">
        <f>'CLASSIFICA ORDINATA'!K108</f>
        <v/>
      </c>
      <c r="N109" s="12" t="str">
        <f>'CLASSIFICA ORDINATA'!L108</f>
        <v/>
      </c>
      <c r="O109" s="12" t="str">
        <f>'CLASSIFICA ORDINATA'!M108</f>
        <v/>
      </c>
      <c r="P109" s="139" t="str">
        <f>'CLASSIFICA ORDINATA'!N108</f>
        <v/>
      </c>
      <c r="Q109" s="12" t="str">
        <f>'CLASSIFICA ORDINATA'!O108</f>
        <v/>
      </c>
      <c r="R109" s="12" t="str">
        <f>'CLASSIFICA ORDINATA'!P108</f>
        <v/>
      </c>
      <c r="S109" s="12" t="str">
        <f>'CLASSIFICA ORDINATA'!Q108</f>
        <v/>
      </c>
      <c r="T109" s="139" t="str">
        <f>'CLASSIFICA ORDINATA'!R108</f>
        <v/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139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139" t="str">
        <f>'CLASSIFICA ORDINATA'!Z108</f>
        <v/>
      </c>
      <c r="AC109" s="140">
        <f>'CLASSIFICA ORDINATA'!AA108</f>
        <v>10</v>
      </c>
    </row>
    <row r="110" spans="1:29" ht="20" customHeight="1" x14ac:dyDescent="0.25">
      <c r="A110" s="135">
        <v>42</v>
      </c>
      <c r="B110" s="138" t="str">
        <f>'CLASSIFICA ORDINATA'!B109</f>
        <v>Dimaaa66</v>
      </c>
      <c r="C110" s="127" t="str">
        <f>VLOOKUP(B110,nomi!B:C,2,FALSE)</f>
        <v>Dimaaa66</v>
      </c>
      <c r="D110" s="127" t="str">
        <f>VLOOKUP(B110,nomi!B:G,6,FALSE)</f>
        <v>TLM</v>
      </c>
      <c r="E110" s="12" t="str">
        <f>'CLASSIFICA ORDINATA'!C109</f>
        <v/>
      </c>
      <c r="F110" s="12">
        <f>'CLASSIFICA ORDINATA'!D109</f>
        <v>6</v>
      </c>
      <c r="G110" s="12" t="str">
        <f>'CLASSIFICA ORDINATA'!E109</f>
        <v/>
      </c>
      <c r="H110" s="139">
        <f>'CLASSIFICA ORDINATA'!F109</f>
        <v>6</v>
      </c>
      <c r="I110" s="12" t="str">
        <f>'CLASSIFICA ORDINATA'!G109</f>
        <v/>
      </c>
      <c r="J110" s="12">
        <f>'CLASSIFICA ORDINATA'!H109</f>
        <v>4</v>
      </c>
      <c r="K110" s="12" t="str">
        <f>'CLASSIFICA ORDINATA'!I109</f>
        <v/>
      </c>
      <c r="L110" s="139">
        <f>'CLASSIFICA ORDINATA'!J109</f>
        <v>4</v>
      </c>
      <c r="M110" s="12" t="str">
        <f>'CLASSIFICA ORDINATA'!K109</f>
        <v/>
      </c>
      <c r="N110" s="12" t="str">
        <f>'CLASSIFICA ORDINATA'!L109</f>
        <v/>
      </c>
      <c r="O110" s="12" t="str">
        <f>'CLASSIFICA ORDINATA'!M109</f>
        <v/>
      </c>
      <c r="P110" s="139" t="str">
        <f>'CLASSIFICA ORDINATA'!N109</f>
        <v/>
      </c>
      <c r="Q110" s="12" t="str">
        <f>'CLASSIFICA ORDINATA'!O109</f>
        <v/>
      </c>
      <c r="R110" s="12" t="str">
        <f>'CLASSIFICA ORDINATA'!P109</f>
        <v/>
      </c>
      <c r="S110" s="12" t="str">
        <f>'CLASSIFICA ORDINATA'!Q109</f>
        <v/>
      </c>
      <c r="T110" s="139" t="str">
        <f>'CLASSIFICA ORDINATA'!R109</f>
        <v/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139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139" t="str">
        <f>'CLASSIFICA ORDINATA'!Z109</f>
        <v/>
      </c>
      <c r="AC110" s="140">
        <f>'CLASSIFICA ORDINATA'!AA109</f>
        <v>10</v>
      </c>
    </row>
    <row r="111" spans="1:29" ht="20" customHeight="1" x14ac:dyDescent="0.25">
      <c r="A111" s="135">
        <v>43</v>
      </c>
      <c r="B111" s="138" t="str">
        <f>'CLASSIFICA ORDINATA'!B110</f>
        <v>Assemazz</v>
      </c>
      <c r="C111" s="127" t="str">
        <f>VLOOKUP(B111,nomi!B:C,2,FALSE)</f>
        <v>TLM_GAMMA</v>
      </c>
      <c r="D111" s="127" t="str">
        <f>VLOOKUP(B111,nomi!B:G,6,FALSE)</f>
        <v>TLM</v>
      </c>
      <c r="E111" s="12" t="str">
        <f>'CLASSIFICA ORDINATA'!C110</f>
        <v/>
      </c>
      <c r="F111" s="12">
        <f>'CLASSIFICA ORDINATA'!D110</f>
        <v>5</v>
      </c>
      <c r="G111" s="12" t="str">
        <f>'CLASSIFICA ORDINATA'!E110</f>
        <v/>
      </c>
      <c r="H111" s="139">
        <f>'CLASSIFICA ORDINATA'!F110</f>
        <v>5</v>
      </c>
      <c r="I111" s="12" t="str">
        <f>'CLASSIFICA ORDINATA'!G110</f>
        <v/>
      </c>
      <c r="J111" s="12">
        <f>'CLASSIFICA ORDINATA'!H110</f>
        <v>4</v>
      </c>
      <c r="K111" s="12" t="str">
        <f>'CLASSIFICA ORDINATA'!I110</f>
        <v/>
      </c>
      <c r="L111" s="139">
        <f>'CLASSIFICA ORDINATA'!J110</f>
        <v>4</v>
      </c>
      <c r="M111" s="12" t="str">
        <f>'CLASSIFICA ORDINATA'!K110</f>
        <v/>
      </c>
      <c r="N111" s="12" t="str">
        <f>'CLASSIFICA ORDINATA'!L110</f>
        <v/>
      </c>
      <c r="O111" s="12" t="str">
        <f>'CLASSIFICA ORDINATA'!M110</f>
        <v/>
      </c>
      <c r="P111" s="139" t="str">
        <f>'CLASSIFICA ORDINATA'!N110</f>
        <v/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139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139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139" t="str">
        <f>'CLASSIFICA ORDINATA'!Z110</f>
        <v/>
      </c>
      <c r="AC111" s="140">
        <f>'CLASSIFICA ORDINATA'!AA110</f>
        <v>9</v>
      </c>
    </row>
    <row r="112" spans="1:29" ht="20" customHeight="1" x14ac:dyDescent="0.25">
      <c r="A112" s="135">
        <v>44</v>
      </c>
      <c r="B112" s="138" t="str">
        <f>'CLASSIFICA ORDINATA'!B111</f>
        <v>recidivo92</v>
      </c>
      <c r="C112" s="127" t="str">
        <f>VLOOKUP(B112,nomi!B:C,2,FALSE)</f>
        <v>ReciDivo92</v>
      </c>
      <c r="D112" s="127" t="str">
        <f>VLOOKUP(B112,nomi!B:G,6,FALSE)</f>
        <v>TLMA</v>
      </c>
      <c r="E112" s="12" t="str">
        <f>'CLASSIFICA ORDINATA'!C111</f>
        <v/>
      </c>
      <c r="F112" s="12">
        <f>'CLASSIFICA ORDINATA'!D111</f>
        <v>3</v>
      </c>
      <c r="G112" s="12" t="str">
        <f>'CLASSIFICA ORDINATA'!E111</f>
        <v/>
      </c>
      <c r="H112" s="139">
        <f>'CLASSIFICA ORDINATA'!F111</f>
        <v>3</v>
      </c>
      <c r="I112" s="12" t="str">
        <f>'CLASSIFICA ORDINATA'!G111</f>
        <v/>
      </c>
      <c r="J112" s="12">
        <f>'CLASSIFICA ORDINATA'!H111</f>
        <v>6</v>
      </c>
      <c r="K112" s="12" t="str">
        <f>'CLASSIFICA ORDINATA'!I111</f>
        <v/>
      </c>
      <c r="L112" s="139">
        <f>'CLASSIFICA ORDINATA'!J111</f>
        <v>6</v>
      </c>
      <c r="M112" s="12" t="str">
        <f>'CLASSIFICA ORDINATA'!K111</f>
        <v/>
      </c>
      <c r="N112" s="12" t="str">
        <f>'CLASSIFICA ORDINATA'!L111</f>
        <v/>
      </c>
      <c r="O112" s="12" t="str">
        <f>'CLASSIFICA ORDINATA'!M111</f>
        <v/>
      </c>
      <c r="P112" s="139" t="str">
        <f>'CLASSIFICA ORDINATA'!N111</f>
        <v/>
      </c>
      <c r="Q112" s="12" t="str">
        <f>'CLASSIFICA ORDINATA'!O111</f>
        <v/>
      </c>
      <c r="R112" s="12" t="str">
        <f>'CLASSIFICA ORDINATA'!P111</f>
        <v/>
      </c>
      <c r="S112" s="12" t="str">
        <f>'CLASSIFICA ORDINATA'!Q111</f>
        <v/>
      </c>
      <c r="T112" s="139" t="str">
        <f>'CLASSIFICA ORDINATA'!R111</f>
        <v/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139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139" t="str">
        <f>'CLASSIFICA ORDINATA'!Z111</f>
        <v/>
      </c>
      <c r="AC112" s="140">
        <f>'CLASSIFICA ORDINATA'!AA111</f>
        <v>9</v>
      </c>
    </row>
    <row r="113" spans="1:29" ht="20" customHeight="1" x14ac:dyDescent="0.25">
      <c r="A113" s="135">
        <v>45</v>
      </c>
      <c r="B113" s="138" t="str">
        <f>'CLASSIFICA ORDINATA'!B112</f>
        <v>jack-187-jack</v>
      </c>
      <c r="C113" s="127" t="str">
        <f>VLOOKUP(B113,nomi!B:C,2,FALSE)</f>
        <v>Jack187</v>
      </c>
      <c r="D113" s="127" t="str">
        <f>VLOOKUP(B113,nomi!B:G,6,FALSE)</f>
        <v>TLMA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139">
        <f>'CLASSIFICA ORDINATA'!F112</f>
        <v>4</v>
      </c>
      <c r="I113" s="12" t="str">
        <f>'CLASSIFICA ORDINATA'!G112</f>
        <v/>
      </c>
      <c r="J113" s="12">
        <f>'CLASSIFICA ORDINATA'!H112</f>
        <v>4</v>
      </c>
      <c r="K113" s="12" t="str">
        <f>'CLASSIFICA ORDINATA'!I112</f>
        <v/>
      </c>
      <c r="L113" s="139">
        <f>'CLASSIFICA ORDINATA'!J112</f>
        <v>4</v>
      </c>
      <c r="M113" s="12" t="str">
        <f>'CLASSIFICA ORDINATA'!K112</f>
        <v/>
      </c>
      <c r="N113" s="12" t="str">
        <f>'CLASSIFICA ORDINATA'!L112</f>
        <v/>
      </c>
      <c r="O113" s="12" t="str">
        <f>'CLASSIFICA ORDINATA'!M112</f>
        <v/>
      </c>
      <c r="P113" s="139" t="str">
        <f>'CLASSIFICA ORDINATA'!N112</f>
        <v/>
      </c>
      <c r="Q113" s="12" t="str">
        <f>'CLASSIFICA ORDINATA'!O112</f>
        <v/>
      </c>
      <c r="R113" s="12" t="str">
        <f>'CLASSIFICA ORDINATA'!P112</f>
        <v/>
      </c>
      <c r="S113" s="12" t="str">
        <f>'CLASSIFICA ORDINATA'!Q112</f>
        <v/>
      </c>
      <c r="T113" s="139" t="str">
        <f>'CLASSIFICA ORDINATA'!R112</f>
        <v/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139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139" t="str">
        <f>'CLASSIFICA ORDINATA'!Z112</f>
        <v/>
      </c>
      <c r="AC113" s="140">
        <f>'CLASSIFICA ORDINATA'!AA112</f>
        <v>8</v>
      </c>
    </row>
    <row r="114" spans="1:29" ht="20" customHeight="1" x14ac:dyDescent="0.25">
      <c r="A114" s="135">
        <v>46</v>
      </c>
      <c r="B114" s="138" t="str">
        <f>'CLASSIFICA ORDINATA'!B113</f>
        <v>mirkozaffaron296</v>
      </c>
      <c r="C114" s="127" t="str">
        <f>VLOOKUP(B114,nomi!B:C,2,FALSE)</f>
        <v xml:space="preserve">GTRC-MIRKOZAFFA </v>
      </c>
      <c r="D114" s="127" t="str">
        <f>VLOOKUP(B114,nomi!B:G,6,FALSE)</f>
        <v>GTRC</v>
      </c>
      <c r="E114" s="12" t="str">
        <f>'CLASSIFICA ORDINATA'!C113</f>
        <v/>
      </c>
      <c r="F114" s="12">
        <f>'CLASSIFICA ORDINATA'!D113</f>
        <v>4</v>
      </c>
      <c r="G114" s="12" t="str">
        <f>'CLASSIFICA ORDINATA'!E113</f>
        <v/>
      </c>
      <c r="H114" s="139">
        <f>'CLASSIFICA ORDINATA'!F113</f>
        <v>4</v>
      </c>
      <c r="I114" s="12" t="str">
        <f>'CLASSIFICA ORDINATA'!G113</f>
        <v/>
      </c>
      <c r="J114" s="12">
        <f>'CLASSIFICA ORDINATA'!H113</f>
        <v>4</v>
      </c>
      <c r="K114" s="12" t="str">
        <f>'CLASSIFICA ORDINATA'!I113</f>
        <v/>
      </c>
      <c r="L114" s="139">
        <f>'CLASSIFICA ORDINATA'!J113</f>
        <v>4</v>
      </c>
      <c r="M114" s="12" t="str">
        <f>'CLASSIFICA ORDINATA'!K113</f>
        <v/>
      </c>
      <c r="N114" s="12" t="str">
        <f>'CLASSIFICA ORDINATA'!L113</f>
        <v/>
      </c>
      <c r="O114" s="12" t="str">
        <f>'CLASSIFICA ORDINATA'!M113</f>
        <v/>
      </c>
      <c r="P114" s="139" t="str">
        <f>'CLASSIFICA ORDINATA'!N113</f>
        <v/>
      </c>
      <c r="Q114" s="12" t="str">
        <f>'CLASSIFICA ORDINATA'!O113</f>
        <v/>
      </c>
      <c r="R114" s="12" t="str">
        <f>'CLASSIFICA ORDINATA'!P113</f>
        <v/>
      </c>
      <c r="S114" s="12" t="str">
        <f>'CLASSIFICA ORDINATA'!Q113</f>
        <v/>
      </c>
      <c r="T114" s="139" t="str">
        <f>'CLASSIFICA ORDINATA'!R113</f>
        <v/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139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139" t="str">
        <f>'CLASSIFICA ORDINATA'!Z113</f>
        <v/>
      </c>
      <c r="AC114" s="140">
        <f>'CLASSIFICA ORDINATA'!AA113</f>
        <v>8</v>
      </c>
    </row>
    <row r="115" spans="1:29" ht="20" customHeight="1" x14ac:dyDescent="0.25">
      <c r="A115" s="135">
        <v>47</v>
      </c>
      <c r="B115" s="138" t="str">
        <f>'CLASSIFICA ORDINATA'!B114</f>
        <v>mettiukc</v>
      </c>
      <c r="C115" s="127" t="str">
        <f>VLOOKUP(B115,nomi!B:C,2,FALSE)</f>
        <v>mettiukc</v>
      </c>
      <c r="D115" s="127" t="str">
        <f>VLOOKUP(B115,nomi!B:G,6,FALSE)</f>
        <v>TLMA</v>
      </c>
      <c r="E115" s="12" t="str">
        <f>'CLASSIFICA ORDINATA'!C114</f>
        <v/>
      </c>
      <c r="F115" s="12">
        <f>'CLASSIFICA ORDINATA'!D114</f>
        <v>5</v>
      </c>
      <c r="G115" s="12" t="str">
        <f>'CLASSIFICA ORDINATA'!E114</f>
        <v/>
      </c>
      <c r="H115" s="139">
        <f>'CLASSIFICA ORDINATA'!F114</f>
        <v>5</v>
      </c>
      <c r="I115" s="12" t="str">
        <f>'CLASSIFICA ORDINATA'!G114</f>
        <v/>
      </c>
      <c r="J115" s="12">
        <f>'CLASSIFICA ORDINATA'!H114</f>
        <v>3</v>
      </c>
      <c r="K115" s="12" t="str">
        <f>'CLASSIFICA ORDINATA'!I114</f>
        <v/>
      </c>
      <c r="L115" s="139">
        <f>'CLASSIFICA ORDINATA'!J114</f>
        <v>3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139" t="str">
        <f>'CLASSIFICA ORDINATA'!N114</f>
        <v/>
      </c>
      <c r="Q115" s="12" t="str">
        <f>'CLASSIFICA ORDINATA'!O114</f>
        <v/>
      </c>
      <c r="R115" s="12" t="str">
        <f>'CLASSIFICA ORDINATA'!P114</f>
        <v/>
      </c>
      <c r="S115" s="12" t="str">
        <f>'CLASSIFICA ORDINATA'!Q114</f>
        <v/>
      </c>
      <c r="T115" s="139" t="str">
        <f>'CLASSIFICA ORDINATA'!R114</f>
        <v/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139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139" t="str">
        <f>'CLASSIFICA ORDINATA'!Z114</f>
        <v/>
      </c>
      <c r="AC115" s="140">
        <f>'CLASSIFICA ORDINATA'!AA114</f>
        <v>8</v>
      </c>
    </row>
    <row r="116" spans="1:29" ht="20" customHeight="1" x14ac:dyDescent="0.25">
      <c r="A116" s="135">
        <v>48</v>
      </c>
      <c r="B116" s="138" t="str">
        <f>'CLASSIFICA ORDINATA'!B115</f>
        <v>Rikas78</v>
      </c>
      <c r="C116" s="127" t="str">
        <f>VLOOKUP(B116,nomi!B:C,2,FALSE)</f>
        <v>Rikas78</v>
      </c>
      <c r="D116" s="127" t="str">
        <f>VLOOKUP(B116,nomi!B:G,6,FALSE)</f>
        <v>TLMA</v>
      </c>
      <c r="E116" s="12" t="str">
        <f>'CLASSIFICA ORDINATA'!C115</f>
        <v/>
      </c>
      <c r="F116" s="12">
        <f>'CLASSIFICA ORDINATA'!D115</f>
        <v>2</v>
      </c>
      <c r="G116" s="12" t="str">
        <f>'CLASSIFICA ORDINATA'!E115</f>
        <v/>
      </c>
      <c r="H116" s="139">
        <f>'CLASSIFICA ORDINATA'!F115</f>
        <v>2</v>
      </c>
      <c r="I116" s="12" t="str">
        <f>'CLASSIFICA ORDINATA'!G115</f>
        <v/>
      </c>
      <c r="J116" s="12">
        <f>'CLASSIFICA ORDINATA'!H115</f>
        <v>5</v>
      </c>
      <c r="K116" s="12" t="str">
        <f>'CLASSIFICA ORDINATA'!I115</f>
        <v/>
      </c>
      <c r="L116" s="139">
        <f>'CLASSIFICA ORDINATA'!J115</f>
        <v>5</v>
      </c>
      <c r="M116" s="12" t="str">
        <f>'CLASSIFICA ORDINATA'!K115</f>
        <v/>
      </c>
      <c r="N116" s="12" t="str">
        <f>'CLASSIFICA ORDINATA'!L115</f>
        <v/>
      </c>
      <c r="O116" s="12" t="str">
        <f>'CLASSIFICA ORDINATA'!M115</f>
        <v/>
      </c>
      <c r="P116" s="139" t="str">
        <f>'CLASSIFICA ORDINATA'!N115</f>
        <v/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139" t="str">
        <f>'CLASSIFICA ORDINATA'!R115</f>
        <v/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139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139" t="str">
        <f>'CLASSIFICA ORDINATA'!Z115</f>
        <v/>
      </c>
      <c r="AC116" s="140">
        <f>'CLASSIFICA ORDINATA'!AA115</f>
        <v>7</v>
      </c>
    </row>
    <row r="117" spans="1:29" ht="20" customHeight="1" x14ac:dyDescent="0.25">
      <c r="A117" s="135">
        <v>49</v>
      </c>
      <c r="B117" s="138" t="str">
        <f>'CLASSIFICA ORDINATA'!B116</f>
        <v>Costanzo-Mirko90</v>
      </c>
      <c r="C117" s="127" t="str">
        <f>VLOOKUP(B117,nomi!B:C,2,FALSE)</f>
        <v>GTRC M. Costanzo</v>
      </c>
      <c r="D117" s="127" t="str">
        <f>VLOOKUP(B117,nomi!B:G,6,FALSE)</f>
        <v>GTRC</v>
      </c>
      <c r="E117" s="12" t="str">
        <f>'CLASSIFICA ORDINATA'!C116</f>
        <v/>
      </c>
      <c r="F117" s="12">
        <f>'CLASSIFICA ORDINATA'!D116</f>
        <v>4</v>
      </c>
      <c r="G117" s="12" t="str">
        <f>'CLASSIFICA ORDINATA'!E116</f>
        <v/>
      </c>
      <c r="H117" s="139">
        <f>'CLASSIFICA ORDINATA'!F116</f>
        <v>4</v>
      </c>
      <c r="I117" s="12" t="str">
        <f>'CLASSIFICA ORDINATA'!G116</f>
        <v/>
      </c>
      <c r="J117" s="12">
        <f>'CLASSIFICA ORDINATA'!H116</f>
        <v>2</v>
      </c>
      <c r="K117" s="12" t="str">
        <f>'CLASSIFICA ORDINATA'!I116</f>
        <v/>
      </c>
      <c r="L117" s="139">
        <f>'CLASSIFICA ORDINATA'!J116</f>
        <v>2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139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139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139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139" t="str">
        <f>'CLASSIFICA ORDINATA'!Z116</f>
        <v/>
      </c>
      <c r="AC117" s="140">
        <f>'CLASSIFICA ORDINATA'!AA116</f>
        <v>6</v>
      </c>
    </row>
    <row r="118" spans="1:29" ht="20" customHeight="1" x14ac:dyDescent="0.25">
      <c r="A118" s="135">
        <v>50</v>
      </c>
      <c r="B118" s="138" t="str">
        <f>'CLASSIFICA ORDINATA'!B117</f>
        <v>Mancinelli2002</v>
      </c>
      <c r="C118" s="127" t="str">
        <f>VLOOKUP(B118,nomi!B:C,2,FALSE)</f>
        <v>Gian</v>
      </c>
      <c r="D118" s="127" t="str">
        <f>VLOOKUP(B118,nomi!B:G,6,FALSE)</f>
        <v>TLMA</v>
      </c>
      <c r="E118" s="12" t="str">
        <f>'CLASSIFICA ORDINATA'!C117</f>
        <v/>
      </c>
      <c r="F118" s="12">
        <f>'CLASSIFICA ORDINATA'!D117</f>
        <v>2</v>
      </c>
      <c r="G118" s="12" t="str">
        <f>'CLASSIFICA ORDINATA'!E117</f>
        <v/>
      </c>
      <c r="H118" s="139">
        <f>'CLASSIFICA ORDINATA'!F117</f>
        <v>2</v>
      </c>
      <c r="I118" s="12" t="str">
        <f>'CLASSIFICA ORDINATA'!G117</f>
        <v/>
      </c>
      <c r="J118" s="12">
        <f>'CLASSIFICA ORDINATA'!H117</f>
        <v>3</v>
      </c>
      <c r="K118" s="12" t="str">
        <f>'CLASSIFICA ORDINATA'!I117</f>
        <v/>
      </c>
      <c r="L118" s="139">
        <f>'CLASSIFICA ORDINATA'!J117</f>
        <v>3</v>
      </c>
      <c r="M118" s="12" t="str">
        <f>'CLASSIFICA ORDINATA'!K117</f>
        <v/>
      </c>
      <c r="N118" s="12" t="str">
        <f>'CLASSIFICA ORDINATA'!L117</f>
        <v/>
      </c>
      <c r="O118" s="12" t="str">
        <f>'CLASSIFICA ORDINATA'!M117</f>
        <v/>
      </c>
      <c r="P118" s="139" t="str">
        <f>'CLASSIFICA ORDINATA'!N117</f>
        <v/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139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139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139" t="str">
        <f>'CLASSIFICA ORDINATA'!Z117</f>
        <v/>
      </c>
      <c r="AC118" s="140">
        <f>'CLASSIFICA ORDINATA'!AA117</f>
        <v>5</v>
      </c>
    </row>
    <row r="119" spans="1:29" ht="20" customHeight="1" x14ac:dyDescent="0.25">
      <c r="A119" s="135">
        <v>51</v>
      </c>
      <c r="B119" s="138" t="str">
        <f>'CLASSIFICA ORDINATA'!B118</f>
        <v>TLM_Verce90</v>
      </c>
      <c r="C119" s="127" t="str">
        <f>VLOOKUP(B119,nomi!B:C,2,FALSE)</f>
        <v>Verce</v>
      </c>
      <c r="D119" s="127" t="str">
        <f>VLOOKUP(B119,nomi!B:G,6,FALSE)</f>
        <v>TLM</v>
      </c>
      <c r="E119" s="12" t="str">
        <f>'CLASSIFICA ORDINATA'!C118</f>
        <v/>
      </c>
      <c r="F119" s="12">
        <f>'CLASSIFICA ORDINATA'!D118</f>
        <v>3</v>
      </c>
      <c r="G119" s="12" t="str">
        <f>'CLASSIFICA ORDINATA'!E118</f>
        <v/>
      </c>
      <c r="H119" s="139">
        <f>'CLASSIFICA ORDINATA'!F118</f>
        <v>3</v>
      </c>
      <c r="I119" s="12" t="str">
        <f>'CLASSIFICA ORDINATA'!G118</f>
        <v/>
      </c>
      <c r="J119" s="12">
        <f>'CLASSIFICA ORDINATA'!H118</f>
        <v>2</v>
      </c>
      <c r="K119" s="12" t="str">
        <f>'CLASSIFICA ORDINATA'!I118</f>
        <v/>
      </c>
      <c r="L119" s="139">
        <f>'CLASSIFICA ORDINATA'!J118</f>
        <v>2</v>
      </c>
      <c r="M119" s="12" t="str">
        <f>'CLASSIFICA ORDINATA'!K118</f>
        <v/>
      </c>
      <c r="N119" s="12" t="str">
        <f>'CLASSIFICA ORDINATA'!L118</f>
        <v/>
      </c>
      <c r="O119" s="12" t="str">
        <f>'CLASSIFICA ORDINATA'!M118</f>
        <v/>
      </c>
      <c r="P119" s="139" t="str">
        <f>'CLASSIFICA ORDINATA'!N118</f>
        <v/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139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139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139" t="str">
        <f>'CLASSIFICA ORDINATA'!Z118</f>
        <v/>
      </c>
      <c r="AC119" s="140">
        <f>'CLASSIFICA ORDINATA'!AA118</f>
        <v>5</v>
      </c>
    </row>
    <row r="120" spans="1:29" ht="20" customHeight="1" x14ac:dyDescent="0.25">
      <c r="A120" s="135">
        <v>52</v>
      </c>
      <c r="B120" s="138" t="str">
        <f>'CLASSIFICA ORDINATA'!B119</f>
        <v>TLM_CaLiGoLa</v>
      </c>
      <c r="C120" s="127" t="str">
        <f>VLOOKUP(B120,nomi!B:C,2,FALSE)</f>
        <v>TLM_CaLiGoLa</v>
      </c>
      <c r="D120" s="127" t="str">
        <f>VLOOKUP(B120,nomi!B:G,6,FALSE)</f>
        <v>TLM</v>
      </c>
      <c r="E120" s="12" t="str">
        <f>'CLASSIFICA ORDINATA'!C119</f>
        <v/>
      </c>
      <c r="F120" s="12">
        <f>'CLASSIFICA ORDINATA'!D119</f>
        <v>5</v>
      </c>
      <c r="G120" s="12" t="str">
        <f>'CLASSIFICA ORDINATA'!E119</f>
        <v/>
      </c>
      <c r="H120" s="139">
        <f>'CLASSIFICA ORDINATA'!F119</f>
        <v>5</v>
      </c>
      <c r="I120" s="12" t="str">
        <f>'CLASSIFICA ORDINATA'!G119</f>
        <v/>
      </c>
      <c r="J120" s="12" t="str">
        <f>'CLASSIFICA ORDINATA'!H119</f>
        <v/>
      </c>
      <c r="K120" s="12" t="str">
        <f>'CLASSIFICA ORDINATA'!I119</f>
        <v/>
      </c>
      <c r="L120" s="139" t="str">
        <f>'CLASSIFICA ORDINATA'!J119</f>
        <v/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139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139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139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139" t="str">
        <f>'CLASSIFICA ORDINATA'!Z119</f>
        <v/>
      </c>
      <c r="AC120" s="140">
        <f>'CLASSIFICA ORDINATA'!AA119</f>
        <v>5</v>
      </c>
    </row>
    <row r="121" spans="1:29" ht="20" customHeight="1" x14ac:dyDescent="0.25">
      <c r="A121" s="135">
        <v>53</v>
      </c>
      <c r="B121" s="138" t="str">
        <f>'CLASSIFICA ORDINATA'!B120</f>
        <v>Isnotacrime</v>
      </c>
      <c r="C121" s="127" t="str">
        <f>VLOOKUP(B121,nomi!B:C,2,FALSE)</f>
        <v xml:space="preserve">TLM isnotacrime </v>
      </c>
      <c r="D121" s="127" t="str">
        <f>VLOOKUP(B121,nomi!B:G,6,FALSE)</f>
        <v>TLM</v>
      </c>
      <c r="E121" s="12" t="str">
        <f>'CLASSIFICA ORDINATA'!C120</f>
        <v/>
      </c>
      <c r="F121" s="12">
        <f>'CLASSIFICA ORDINATA'!D120</f>
        <v>3</v>
      </c>
      <c r="G121" s="12" t="str">
        <f>'CLASSIFICA ORDINATA'!E120</f>
        <v/>
      </c>
      <c r="H121" s="139">
        <f>'CLASSIFICA ORDINATA'!F120</f>
        <v>3</v>
      </c>
      <c r="I121" s="12" t="str">
        <f>'CLASSIFICA ORDINATA'!G120</f>
        <v/>
      </c>
      <c r="J121" s="12" t="str">
        <f>'CLASSIFICA ORDINATA'!H120</f>
        <v/>
      </c>
      <c r="K121" s="12" t="str">
        <f>'CLASSIFICA ORDINATA'!I120</f>
        <v/>
      </c>
      <c r="L121" s="139" t="str">
        <f>'CLASSIFICA ORDINATA'!J120</f>
        <v/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139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139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139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139" t="str">
        <f>'CLASSIFICA ORDINATA'!Z120</f>
        <v/>
      </c>
      <c r="AC121" s="140">
        <f>'CLASSIFICA ORDINATA'!AA120</f>
        <v>3</v>
      </c>
    </row>
    <row r="122" spans="1:29" ht="20" customHeight="1" x14ac:dyDescent="0.25">
      <c r="A122" s="135">
        <v>54</v>
      </c>
      <c r="B122" s="138" t="str">
        <f>'CLASSIFICA ORDINATA'!B121</f>
        <v>Monster_Nova_RS</v>
      </c>
      <c r="C122" s="127" t="str">
        <f>VLOOKUP(B122,nomi!B:C,2,FALSE)</f>
        <v>TLM_Monster_RS</v>
      </c>
      <c r="D122" s="127" t="str">
        <f>VLOOKUP(B122,nomi!B:G,6,FALSE)</f>
        <v>TLM</v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139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139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139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139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139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139" t="str">
        <f>'CLASSIFICA ORDINATA'!Z121</f>
        <v/>
      </c>
      <c r="AC122" s="140" t="str">
        <f>'CLASSIFICA ORDINATA'!AA121</f>
        <v/>
      </c>
    </row>
    <row r="123" spans="1:29" ht="20" customHeight="1" x14ac:dyDescent="0.25">
      <c r="A123" s="135">
        <v>55</v>
      </c>
      <c r="B123" s="138" t="str">
        <f>'CLASSIFICA ORDINATA'!B122</f>
        <v/>
      </c>
      <c r="C123" s="127" t="str">
        <f>IFERROR(VLOOKUP(B123,nomi!B:C,2,FALSE),"")</f>
        <v/>
      </c>
      <c r="D123" s="127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139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139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139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139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139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139" t="str">
        <f>'CLASSIFICA ORDINATA'!Z122</f>
        <v/>
      </c>
      <c r="AC123" s="140" t="str">
        <f>'CLASSIFICA ORDINATA'!AA122</f>
        <v/>
      </c>
    </row>
    <row r="124" spans="1:29" ht="20" customHeight="1" x14ac:dyDescent="0.25">
      <c r="A124" s="135">
        <v>56</v>
      </c>
      <c r="B124" s="138" t="str">
        <f>'CLASSIFICA ORDINATA'!B123</f>
        <v>Patanel86</v>
      </c>
      <c r="C124" s="127" t="str">
        <f>VLOOKUP(B124,nomi!B:C,2,FALSE)</f>
        <v>TLM_PataneL86</v>
      </c>
      <c r="D124" s="127" t="str">
        <f>VLOOKUP(B124,nomi!B:G,6,FALSE)</f>
        <v>TLM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139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139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139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139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139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139" t="str">
        <f>'CLASSIFICA ORDINATA'!Z123</f>
        <v/>
      </c>
      <c r="AC124" s="140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7" right="0.7" top="0.75" bottom="0.75" header="0.3" footer="0.3"/>
  <pageSetup paperSize="9" scale="61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L11" sqref="L11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7" ht="85" customHeight="1" x14ac:dyDescent="0.2">
      <c r="A1" s="118" t="e" vm="1">
        <v>#VALUE!</v>
      </c>
      <c r="B1" s="118"/>
      <c r="C1" s="118"/>
      <c r="D1" s="118"/>
      <c r="E1" s="118"/>
      <c r="F1" s="118"/>
      <c r="G1" s="118"/>
    </row>
    <row r="2" spans="1:7" ht="43" customHeight="1" x14ac:dyDescent="0.2">
      <c r="A2" s="119" t="s">
        <v>415</v>
      </c>
      <c r="B2" s="119"/>
      <c r="C2" s="119"/>
      <c r="D2" s="119"/>
      <c r="E2" s="119"/>
      <c r="F2" s="119"/>
      <c r="G2" s="119"/>
    </row>
    <row r="3" spans="1:7" ht="20" customHeight="1" x14ac:dyDescent="0.2">
      <c r="A3" s="115" t="s">
        <v>397</v>
      </c>
      <c r="B3" s="116"/>
      <c r="C3" s="117"/>
      <c r="D3" s="86"/>
      <c r="E3" s="115" t="s">
        <v>397</v>
      </c>
      <c r="F3" s="116"/>
      <c r="G3" s="117"/>
    </row>
    <row r="4" spans="1:7" ht="20" customHeight="1" x14ac:dyDescent="0.2">
      <c r="A4" s="87" t="s">
        <v>395</v>
      </c>
      <c r="B4" s="114" t="s">
        <v>58</v>
      </c>
      <c r="C4" s="114"/>
      <c r="D4" s="86"/>
      <c r="E4" s="87" t="s">
        <v>395</v>
      </c>
      <c r="F4" s="114" t="s">
        <v>72</v>
      </c>
      <c r="G4" s="114"/>
    </row>
    <row r="5" spans="1:7" ht="20" customHeight="1" x14ac:dyDescent="0.2">
      <c r="A5" s="113" t="s">
        <v>394</v>
      </c>
      <c r="B5" s="113"/>
      <c r="C5" s="113"/>
      <c r="D5" s="86"/>
      <c r="E5" s="111" t="s">
        <v>404</v>
      </c>
      <c r="F5" s="112"/>
      <c r="G5" s="112"/>
    </row>
    <row r="6" spans="1:7" ht="20" customHeight="1" x14ac:dyDescent="0.2">
      <c r="A6" s="85" t="s">
        <v>2</v>
      </c>
      <c r="B6" s="83" t="s">
        <v>61</v>
      </c>
      <c r="C6" s="83" t="s">
        <v>61</v>
      </c>
      <c r="D6" s="86"/>
      <c r="E6" s="85" t="s">
        <v>2</v>
      </c>
      <c r="F6" s="83" t="s">
        <v>72</v>
      </c>
      <c r="G6" s="83" t="s">
        <v>382</v>
      </c>
    </row>
    <row r="7" spans="1:7" ht="20" customHeight="1" x14ac:dyDescent="0.2">
      <c r="A7" s="85" t="s">
        <v>3</v>
      </c>
      <c r="B7" s="83" t="s">
        <v>32</v>
      </c>
      <c r="C7" s="83" t="s">
        <v>32</v>
      </c>
      <c r="D7" s="86"/>
      <c r="E7" s="85" t="s">
        <v>3</v>
      </c>
      <c r="F7" s="83" t="s">
        <v>68</v>
      </c>
      <c r="G7" s="83" t="s">
        <v>228</v>
      </c>
    </row>
    <row r="8" spans="1:7" ht="20" customHeight="1" x14ac:dyDescent="0.2">
      <c r="A8" s="85" t="s">
        <v>4</v>
      </c>
      <c r="B8" s="83" t="s">
        <v>54</v>
      </c>
      <c r="C8" s="83" t="s">
        <v>362</v>
      </c>
      <c r="D8" s="86"/>
      <c r="E8" s="85" t="s">
        <v>4</v>
      </c>
      <c r="F8" s="83" t="s">
        <v>70</v>
      </c>
      <c r="G8" s="83" t="s">
        <v>324</v>
      </c>
    </row>
    <row r="9" spans="1:7" ht="20" customHeight="1" x14ac:dyDescent="0.2">
      <c r="A9" s="85" t="s">
        <v>5</v>
      </c>
      <c r="B9" s="83" t="s">
        <v>60</v>
      </c>
      <c r="C9" s="83" t="s">
        <v>114</v>
      </c>
      <c r="D9" s="86"/>
      <c r="E9" s="85" t="s">
        <v>5</v>
      </c>
      <c r="F9" s="83" t="s">
        <v>368</v>
      </c>
      <c r="G9" s="83" t="s">
        <v>369</v>
      </c>
    </row>
    <row r="10" spans="1:7" ht="20" customHeight="1" x14ac:dyDescent="0.2">
      <c r="A10" s="85" t="s">
        <v>6</v>
      </c>
      <c r="B10" s="83" t="s">
        <v>52</v>
      </c>
      <c r="C10" s="83" t="s">
        <v>381</v>
      </c>
      <c r="D10" s="86"/>
      <c r="E10" s="85" t="s">
        <v>6</v>
      </c>
      <c r="F10" s="83" t="s">
        <v>71</v>
      </c>
      <c r="G10" s="83" t="s">
        <v>402</v>
      </c>
    </row>
    <row r="11" spans="1:7" ht="20" customHeight="1" x14ac:dyDescent="0.2">
      <c r="A11" s="85" t="s">
        <v>7</v>
      </c>
      <c r="B11" s="83" t="s">
        <v>56</v>
      </c>
      <c r="C11" s="83" t="s">
        <v>108</v>
      </c>
      <c r="D11" s="86"/>
      <c r="E11" s="85" t="s">
        <v>7</v>
      </c>
      <c r="F11" s="83" t="s">
        <v>383</v>
      </c>
      <c r="G11" s="83" t="s">
        <v>294</v>
      </c>
    </row>
    <row r="12" spans="1:7" ht="20" customHeight="1" x14ac:dyDescent="0.2">
      <c r="A12" s="85" t="s">
        <v>8</v>
      </c>
      <c r="B12" s="83" t="s">
        <v>57</v>
      </c>
      <c r="C12" s="83" t="s">
        <v>298</v>
      </c>
      <c r="D12" s="86"/>
      <c r="E12" s="85" t="s">
        <v>8</v>
      </c>
      <c r="F12" s="83" t="s">
        <v>64</v>
      </c>
      <c r="G12" s="83" t="s">
        <v>64</v>
      </c>
    </row>
    <row r="13" spans="1:7" ht="20" customHeight="1" x14ac:dyDescent="0.2">
      <c r="A13" s="85" t="s">
        <v>9</v>
      </c>
      <c r="B13" s="84" t="s">
        <v>63</v>
      </c>
      <c r="C13" s="83" t="s">
        <v>154</v>
      </c>
      <c r="D13" s="86"/>
      <c r="E13" s="85" t="s">
        <v>9</v>
      </c>
      <c r="F13" s="84" t="s">
        <v>69</v>
      </c>
      <c r="G13" s="83" t="s">
        <v>279</v>
      </c>
    </row>
    <row r="14" spans="1:7" ht="20" customHeight="1" x14ac:dyDescent="0.2">
      <c r="A14" s="85" t="s">
        <v>10</v>
      </c>
      <c r="B14" s="83" t="s">
        <v>62</v>
      </c>
      <c r="C14" s="83" t="s">
        <v>62</v>
      </c>
      <c r="D14" s="86"/>
      <c r="E14" s="85" t="s">
        <v>10</v>
      </c>
      <c r="F14" s="83" t="s">
        <v>90</v>
      </c>
      <c r="G14" s="83" t="s">
        <v>308</v>
      </c>
    </row>
    <row r="15" spans="1:7" ht="20" customHeight="1" x14ac:dyDescent="0.2">
      <c r="A15" s="85" t="s">
        <v>11</v>
      </c>
      <c r="B15" s="83" t="s">
        <v>51</v>
      </c>
      <c r="C15" s="83" t="s">
        <v>198</v>
      </c>
      <c r="D15" s="86"/>
      <c r="E15" s="85" t="s">
        <v>11</v>
      </c>
      <c r="F15" s="83" t="s">
        <v>38</v>
      </c>
      <c r="G15" s="83" t="s">
        <v>271</v>
      </c>
    </row>
    <row r="16" spans="1:7" ht="20" customHeight="1" x14ac:dyDescent="0.2">
      <c r="A16" s="85" t="s">
        <v>12</v>
      </c>
      <c r="B16" s="83" t="s">
        <v>59</v>
      </c>
      <c r="C16" s="83" t="s">
        <v>59</v>
      </c>
      <c r="D16" s="86"/>
      <c r="E16" s="85" t="s">
        <v>12</v>
      </c>
      <c r="F16" s="83" t="s">
        <v>73</v>
      </c>
      <c r="G16" s="83" t="s">
        <v>312</v>
      </c>
    </row>
    <row r="17" spans="1:7" ht="20" customHeight="1" x14ac:dyDescent="0.2">
      <c r="A17" s="85" t="s">
        <v>13</v>
      </c>
      <c r="B17" s="83" t="s">
        <v>58</v>
      </c>
      <c r="C17" s="83" t="s">
        <v>185</v>
      </c>
      <c r="D17" s="86"/>
      <c r="E17" s="85" t="s">
        <v>13</v>
      </c>
      <c r="F17" s="83" t="s">
        <v>66</v>
      </c>
      <c r="G17" s="83" t="s">
        <v>384</v>
      </c>
    </row>
    <row r="18" spans="1:7" ht="20" customHeight="1" x14ac:dyDescent="0.2">
      <c r="A18" s="85" t="s">
        <v>20</v>
      </c>
      <c r="B18" s="83" t="s">
        <v>53</v>
      </c>
      <c r="C18" s="83" t="s">
        <v>160</v>
      </c>
      <c r="D18" s="86"/>
      <c r="E18" s="85" t="s">
        <v>20</v>
      </c>
      <c r="F18" s="83" t="s">
        <v>65</v>
      </c>
      <c r="G18" s="83" t="s">
        <v>284</v>
      </c>
    </row>
    <row r="19" spans="1:7" ht="20" customHeight="1" x14ac:dyDescent="0.2">
      <c r="A19" s="85" t="s">
        <v>21</v>
      </c>
      <c r="B19" s="83" t="s">
        <v>55</v>
      </c>
      <c r="C19" s="83" t="s">
        <v>232</v>
      </c>
      <c r="D19" s="86"/>
      <c r="E19" s="85" t="s">
        <v>21</v>
      </c>
      <c r="F19" s="83"/>
      <c r="G19" s="83"/>
    </row>
    <row r="20" spans="1:7" ht="20" customHeight="1" x14ac:dyDescent="0.2">
      <c r="A20" s="86"/>
      <c r="B20" s="86"/>
      <c r="C20" s="86"/>
      <c r="D20" s="86"/>
      <c r="E20" s="86"/>
      <c r="F20" s="86"/>
      <c r="G20" s="86"/>
    </row>
    <row r="21" spans="1:7" ht="20" customHeight="1" x14ac:dyDescent="0.2">
      <c r="A21" s="114" t="s">
        <v>398</v>
      </c>
      <c r="B21" s="114"/>
      <c r="C21" s="114" t="s">
        <v>399</v>
      </c>
      <c r="D21" s="114"/>
      <c r="E21" s="114"/>
      <c r="F21" s="114"/>
      <c r="G21" s="114"/>
    </row>
    <row r="22" spans="1:7" ht="20" customHeight="1" x14ac:dyDescent="0.2">
      <c r="A22" s="114" t="s">
        <v>401</v>
      </c>
      <c r="B22" s="114"/>
      <c r="C22" s="114" t="s">
        <v>400</v>
      </c>
      <c r="D22" s="114"/>
      <c r="E22" s="114"/>
      <c r="F22" s="114"/>
      <c r="G22" s="114"/>
    </row>
    <row r="23" spans="1:7" ht="20" customHeight="1" x14ac:dyDescent="0.2">
      <c r="A23" s="86"/>
      <c r="B23" s="86"/>
      <c r="C23" s="86"/>
      <c r="D23" s="86"/>
      <c r="E23" s="86"/>
      <c r="F23" s="86"/>
      <c r="G23" s="86"/>
    </row>
    <row r="24" spans="1:7" ht="20" customHeight="1" x14ac:dyDescent="0.2">
      <c r="A24" s="115" t="s">
        <v>396</v>
      </c>
      <c r="B24" s="116"/>
      <c r="C24" s="117"/>
      <c r="D24" s="86"/>
      <c r="E24" s="115" t="s">
        <v>397</v>
      </c>
      <c r="F24" s="116"/>
      <c r="G24" s="117"/>
    </row>
    <row r="25" spans="1:7" ht="20" customHeight="1" x14ac:dyDescent="0.2">
      <c r="A25" s="87" t="s">
        <v>395</v>
      </c>
      <c r="B25" s="114" t="s">
        <v>81</v>
      </c>
      <c r="C25" s="114"/>
      <c r="D25" s="86"/>
      <c r="E25" s="87" t="s">
        <v>395</v>
      </c>
      <c r="F25" s="114" t="s">
        <v>84</v>
      </c>
      <c r="G25" s="114"/>
    </row>
    <row r="26" spans="1:7" ht="20" customHeight="1" x14ac:dyDescent="0.2">
      <c r="A26" s="109" t="s">
        <v>393</v>
      </c>
      <c r="B26" s="110"/>
      <c r="C26" s="110"/>
      <c r="D26" s="86"/>
      <c r="E26" s="109" t="s">
        <v>403</v>
      </c>
      <c r="F26" s="110"/>
      <c r="G26" s="110"/>
    </row>
    <row r="27" spans="1:7" ht="20" customHeight="1" x14ac:dyDescent="0.2">
      <c r="A27" s="85" t="s">
        <v>2</v>
      </c>
      <c r="B27" s="83" t="s">
        <v>80</v>
      </c>
      <c r="C27" s="83" t="s">
        <v>258</v>
      </c>
      <c r="D27" s="86"/>
      <c r="E27" s="85" t="s">
        <v>2</v>
      </c>
      <c r="F27" s="83" t="s">
        <v>405</v>
      </c>
      <c r="G27" s="83" t="s">
        <v>387</v>
      </c>
    </row>
    <row r="28" spans="1:7" ht="20" customHeight="1" x14ac:dyDescent="0.2">
      <c r="A28" s="85" t="s">
        <v>3</v>
      </c>
      <c r="B28" s="83" t="s">
        <v>78</v>
      </c>
      <c r="C28" s="83" t="s">
        <v>102</v>
      </c>
      <c r="D28" s="86"/>
      <c r="E28" s="85" t="s">
        <v>3</v>
      </c>
      <c r="F28" s="83" t="s">
        <v>86</v>
      </c>
      <c r="G28" s="83" t="s">
        <v>388</v>
      </c>
    </row>
    <row r="29" spans="1:7" ht="20" customHeight="1" x14ac:dyDescent="0.2">
      <c r="A29" s="85" t="s">
        <v>4</v>
      </c>
      <c r="B29" s="83" t="s">
        <v>81</v>
      </c>
      <c r="C29" s="83" t="s">
        <v>81</v>
      </c>
      <c r="D29" s="86"/>
      <c r="E29" s="85" t="s">
        <v>4</v>
      </c>
      <c r="F29" s="83" t="s">
        <v>88</v>
      </c>
      <c r="G29" s="83" t="s">
        <v>237</v>
      </c>
    </row>
    <row r="30" spans="1:7" ht="20" customHeight="1" x14ac:dyDescent="0.2">
      <c r="A30" s="85" t="s">
        <v>5</v>
      </c>
      <c r="B30" s="83" t="s">
        <v>74</v>
      </c>
      <c r="C30" s="83" t="s">
        <v>165</v>
      </c>
      <c r="D30" s="86"/>
      <c r="E30" s="85" t="s">
        <v>5</v>
      </c>
      <c r="F30" s="83" t="s">
        <v>139</v>
      </c>
      <c r="G30" s="83" t="s">
        <v>140</v>
      </c>
    </row>
    <row r="31" spans="1:7" ht="20" customHeight="1" x14ac:dyDescent="0.2">
      <c r="A31" s="85" t="s">
        <v>6</v>
      </c>
      <c r="B31" s="83" t="s">
        <v>79</v>
      </c>
      <c r="C31" s="83" t="s">
        <v>242</v>
      </c>
      <c r="D31" s="86"/>
      <c r="E31" s="85" t="s">
        <v>6</v>
      </c>
      <c r="F31" s="83" t="s">
        <v>84</v>
      </c>
      <c r="G31" s="83" t="s">
        <v>391</v>
      </c>
    </row>
    <row r="32" spans="1:7" ht="20" customHeight="1" x14ac:dyDescent="0.2">
      <c r="A32" s="85" t="s">
        <v>7</v>
      </c>
      <c r="B32" s="83" t="s">
        <v>82</v>
      </c>
      <c r="C32" s="83" t="s">
        <v>203</v>
      </c>
      <c r="D32" s="86"/>
      <c r="E32" s="85" t="s">
        <v>7</v>
      </c>
      <c r="F32" s="83" t="s">
        <v>170</v>
      </c>
      <c r="G32" s="83" t="s">
        <v>171</v>
      </c>
    </row>
    <row r="33" spans="1:7" ht="20" customHeight="1" x14ac:dyDescent="0.2">
      <c r="A33" s="85" t="s">
        <v>8</v>
      </c>
      <c r="B33" s="83" t="s">
        <v>76</v>
      </c>
      <c r="C33" s="83" t="s">
        <v>222</v>
      </c>
      <c r="D33" s="86"/>
      <c r="E33" s="85" t="s">
        <v>8</v>
      </c>
      <c r="F33" s="83" t="s">
        <v>92</v>
      </c>
      <c r="G33" s="83" t="s">
        <v>37</v>
      </c>
    </row>
    <row r="34" spans="1:7" ht="20" customHeight="1" x14ac:dyDescent="0.2">
      <c r="A34" s="85" t="s">
        <v>9</v>
      </c>
      <c r="B34" s="84" t="s">
        <v>75</v>
      </c>
      <c r="C34" s="83" t="s">
        <v>207</v>
      </c>
      <c r="D34" s="86"/>
      <c r="E34" s="85" t="s">
        <v>9</v>
      </c>
      <c r="F34" s="84" t="s">
        <v>91</v>
      </c>
      <c r="G34" s="83" t="s">
        <v>330</v>
      </c>
    </row>
    <row r="35" spans="1:7" ht="20" customHeight="1" x14ac:dyDescent="0.2">
      <c r="A35" s="85" t="s">
        <v>10</v>
      </c>
      <c r="B35" s="83" t="s">
        <v>341</v>
      </c>
      <c r="C35" s="83" t="s">
        <v>342</v>
      </c>
      <c r="D35" s="86"/>
      <c r="E35" s="85" t="s">
        <v>10</v>
      </c>
      <c r="F35" s="83" t="s">
        <v>89</v>
      </c>
      <c r="G35" s="83" t="s">
        <v>89</v>
      </c>
    </row>
    <row r="36" spans="1:7" ht="20" customHeight="1" x14ac:dyDescent="0.2">
      <c r="A36" s="85" t="s">
        <v>11</v>
      </c>
      <c r="B36" s="83" t="s">
        <v>36</v>
      </c>
      <c r="C36" s="83" t="s">
        <v>36</v>
      </c>
      <c r="D36" s="86"/>
      <c r="E36" s="85" t="s">
        <v>11</v>
      </c>
      <c r="F36" s="83" t="s">
        <v>93</v>
      </c>
      <c r="G36" s="83" t="s">
        <v>93</v>
      </c>
    </row>
    <row r="37" spans="1:7" ht="20" customHeight="1" x14ac:dyDescent="0.2">
      <c r="A37" s="85" t="s">
        <v>12</v>
      </c>
      <c r="B37" s="83" t="s">
        <v>303</v>
      </c>
      <c r="C37" s="83" t="s">
        <v>304</v>
      </c>
      <c r="D37" s="86"/>
      <c r="E37" s="85" t="s">
        <v>12</v>
      </c>
      <c r="F37" s="83" t="s">
        <v>87</v>
      </c>
      <c r="G37" s="83" t="s">
        <v>316</v>
      </c>
    </row>
    <row r="38" spans="1:7" ht="20" customHeight="1" x14ac:dyDescent="0.2">
      <c r="A38" s="85" t="s">
        <v>13</v>
      </c>
      <c r="B38" s="83" t="s">
        <v>77</v>
      </c>
      <c r="C38" s="83" t="s">
        <v>352</v>
      </c>
      <c r="D38" s="86"/>
      <c r="E38" s="85" t="s">
        <v>13</v>
      </c>
      <c r="F38" s="83" t="s">
        <v>389</v>
      </c>
      <c r="G38" s="83" t="s">
        <v>389</v>
      </c>
    </row>
    <row r="39" spans="1:7" ht="20" customHeight="1" x14ac:dyDescent="0.2">
      <c r="A39" s="85" t="s">
        <v>20</v>
      </c>
      <c r="B39" s="83" t="s">
        <v>43</v>
      </c>
      <c r="C39" s="83" t="s">
        <v>135</v>
      </c>
      <c r="D39" s="86"/>
      <c r="E39" s="85" t="s">
        <v>20</v>
      </c>
      <c r="F39" s="83" t="s">
        <v>33</v>
      </c>
      <c r="G39" s="83" t="s">
        <v>33</v>
      </c>
    </row>
    <row r="40" spans="1:7" ht="20" customHeight="1" x14ac:dyDescent="0.2">
      <c r="A40" s="85" t="s">
        <v>21</v>
      </c>
      <c r="B40" s="83" t="s">
        <v>83</v>
      </c>
      <c r="C40" s="83" t="s">
        <v>119</v>
      </c>
      <c r="D40" s="86"/>
      <c r="E40" s="85" t="s">
        <v>21</v>
      </c>
      <c r="F40" s="83" t="s">
        <v>85</v>
      </c>
      <c r="G40" s="83" t="s">
        <v>289</v>
      </c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13"/>
  <sheetViews>
    <sheetView zoomScale="75" workbookViewId="0">
      <selection activeCell="M17" sqref="M17"/>
    </sheetView>
  </sheetViews>
  <sheetFormatPr baseColWidth="10" defaultColWidth="8.83203125" defaultRowHeight="15" x14ac:dyDescent="0.2"/>
  <cols>
    <col min="1" max="1" width="6.83203125" customWidth="1"/>
    <col min="2" max="2" width="12.6640625" customWidth="1"/>
    <col min="3" max="4" width="18" customWidth="1"/>
    <col min="5" max="5" width="10.5" customWidth="1"/>
    <col min="6" max="6" width="9.5" customWidth="1"/>
    <col min="7" max="7" width="55.5" customWidth="1"/>
  </cols>
  <sheetData>
    <row r="1" spans="1:7" ht="31" customHeight="1" x14ac:dyDescent="0.2">
      <c r="A1" s="120" t="s">
        <v>379</v>
      </c>
      <c r="B1" s="120"/>
      <c r="C1" s="120"/>
      <c r="D1" s="120"/>
      <c r="E1" s="120"/>
      <c r="F1" s="120"/>
      <c r="G1" s="120"/>
    </row>
    <row r="2" spans="1:7" ht="22" customHeight="1" x14ac:dyDescent="0.2">
      <c r="A2" s="121" t="s">
        <v>407</v>
      </c>
      <c r="B2" s="121"/>
      <c r="C2" s="121"/>
      <c r="D2" s="121"/>
      <c r="E2" s="121"/>
      <c r="F2" s="121"/>
      <c r="G2" s="121"/>
    </row>
    <row r="3" spans="1:7" ht="24" customHeight="1" x14ac:dyDescent="0.2">
      <c r="A3" s="76" t="s">
        <v>26</v>
      </c>
      <c r="B3" s="77"/>
      <c r="C3" s="76"/>
      <c r="D3" s="76"/>
      <c r="E3" s="76"/>
      <c r="F3" s="74"/>
      <c r="G3" s="78" t="s">
        <v>406</v>
      </c>
    </row>
    <row r="4" spans="1:7" ht="41" customHeight="1" x14ac:dyDescent="0.2">
      <c r="A4" s="65" t="s">
        <v>25</v>
      </c>
      <c r="B4" s="65" t="s">
        <v>377</v>
      </c>
      <c r="C4" s="65" t="s">
        <v>22</v>
      </c>
      <c r="D4" s="65" t="s">
        <v>378</v>
      </c>
      <c r="E4" s="65" t="s">
        <v>23</v>
      </c>
      <c r="F4" s="65" t="s">
        <v>376</v>
      </c>
      <c r="G4" s="70" t="s">
        <v>24</v>
      </c>
    </row>
    <row r="5" spans="1:7" s="56" customFormat="1" ht="27" customHeight="1" x14ac:dyDescent="0.2">
      <c r="A5" s="66">
        <v>1</v>
      </c>
      <c r="B5" s="71">
        <v>1</v>
      </c>
      <c r="C5" s="72" t="s">
        <v>59</v>
      </c>
      <c r="D5" s="72" t="str">
        <f>VLOOKUP(C5,nomi!B:C,2,FALSE)</f>
        <v>TeoDaniricky2000</v>
      </c>
      <c r="E5" s="67" t="s">
        <v>375</v>
      </c>
      <c r="F5" s="67">
        <v>1</v>
      </c>
      <c r="G5" s="73" t="s">
        <v>408</v>
      </c>
    </row>
    <row r="6" spans="1:7" s="56" customFormat="1" ht="27" customHeight="1" x14ac:dyDescent="0.2">
      <c r="A6" s="66">
        <v>2</v>
      </c>
      <c r="B6" s="68">
        <v>1</v>
      </c>
      <c r="C6" s="72" t="s">
        <v>51</v>
      </c>
      <c r="D6" s="72" t="str">
        <f>VLOOKUP(C6,nomi!B:C,2,FALSE)</f>
        <v>TLM_GAMMA</v>
      </c>
      <c r="E6" s="67" t="s">
        <v>375</v>
      </c>
      <c r="F6" s="67">
        <v>1</v>
      </c>
      <c r="G6" s="73" t="s">
        <v>411</v>
      </c>
    </row>
    <row r="7" spans="1:7" s="56" customFormat="1" ht="27" customHeight="1" x14ac:dyDescent="0.2">
      <c r="A7" s="66">
        <v>3</v>
      </c>
      <c r="B7" s="66">
        <v>3</v>
      </c>
      <c r="C7" s="73" t="s">
        <v>78</v>
      </c>
      <c r="D7" s="72" t="str">
        <f>VLOOKUP(C7,nomi!B:C,2,FALSE)</f>
        <v>A. Guarnaccia</v>
      </c>
      <c r="E7" s="67" t="s">
        <v>410</v>
      </c>
      <c r="F7" s="67">
        <v>1</v>
      </c>
      <c r="G7" s="73" t="s">
        <v>412</v>
      </c>
    </row>
    <row r="8" spans="1:7" ht="27" customHeight="1" x14ac:dyDescent="0.2">
      <c r="A8" s="66">
        <v>4</v>
      </c>
      <c r="B8" s="68">
        <v>4</v>
      </c>
      <c r="C8" s="73" t="s">
        <v>89</v>
      </c>
      <c r="D8" s="72" t="str">
        <f>VLOOKUP(C8,nomi!B:C,2,FALSE)</f>
        <v>Dimaaa66</v>
      </c>
      <c r="E8" s="67" t="s">
        <v>375</v>
      </c>
      <c r="F8" s="67">
        <v>0</v>
      </c>
      <c r="G8" s="73" t="s">
        <v>413</v>
      </c>
    </row>
    <row r="9" spans="1:7" ht="27" customHeight="1" x14ac:dyDescent="0.2">
      <c r="A9" s="66">
        <v>5</v>
      </c>
      <c r="B9" s="66"/>
      <c r="C9" s="73"/>
      <c r="D9" s="73"/>
      <c r="E9" s="67" t="s">
        <v>27</v>
      </c>
      <c r="F9" s="67"/>
      <c r="G9" s="73"/>
    </row>
    <row r="10" spans="1:7" ht="27" customHeight="1" x14ac:dyDescent="0.2">
      <c r="A10" s="66">
        <v>6</v>
      </c>
      <c r="B10" s="66"/>
      <c r="C10" s="73"/>
      <c r="D10" s="73"/>
      <c r="E10" s="67" t="s">
        <v>27</v>
      </c>
      <c r="F10" s="67"/>
      <c r="G10" s="73"/>
    </row>
    <row r="11" spans="1:7" ht="27" customHeight="1" x14ac:dyDescent="0.2">
      <c r="A11" s="66">
        <v>7</v>
      </c>
      <c r="B11" s="66"/>
      <c r="C11" s="73"/>
      <c r="D11" s="73"/>
      <c r="E11" s="67" t="s">
        <v>27</v>
      </c>
      <c r="F11" s="67"/>
      <c r="G11" s="73"/>
    </row>
    <row r="12" spans="1:7" ht="27" customHeight="1" x14ac:dyDescent="0.2">
      <c r="A12" s="66">
        <v>8</v>
      </c>
      <c r="B12" s="66"/>
      <c r="C12" s="73"/>
      <c r="D12" s="73"/>
      <c r="E12" s="67" t="s">
        <v>27</v>
      </c>
      <c r="F12" s="67"/>
      <c r="G12" s="73"/>
    </row>
    <row r="13" spans="1:7" ht="51" customHeight="1" x14ac:dyDescent="0.2">
      <c r="A13" s="122" t="s">
        <v>392</v>
      </c>
      <c r="B13" s="122"/>
      <c r="C13" s="123" t="s">
        <v>409</v>
      </c>
      <c r="D13" s="123"/>
      <c r="E13" s="123"/>
      <c r="F13" s="123"/>
      <c r="G13" s="123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6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24"/>
      <c r="B2" s="124"/>
      <c r="C2" s="124"/>
      <c r="D2" s="124"/>
      <c r="E2" s="124"/>
      <c r="F2" s="124"/>
      <c r="G2" s="124"/>
      <c r="H2" s="15"/>
      <c r="I2" s="124"/>
      <c r="J2" s="124"/>
      <c r="K2" s="124"/>
      <c r="L2" s="124"/>
      <c r="M2" s="124"/>
      <c r="N2" s="124"/>
      <c r="O2" s="124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28</v>
      </c>
      <c r="G3" s="14" t="s">
        <v>29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28</v>
      </c>
      <c r="O3" s="2" t="s">
        <v>29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2024-06-16T16:18:49Z</cp:lastPrinted>
  <dcterms:created xsi:type="dcterms:W3CDTF">2023-09-05T10:19:23Z</dcterms:created>
  <dcterms:modified xsi:type="dcterms:W3CDTF">2024-06-19T23:45:24Z</dcterms:modified>
</cp:coreProperties>
</file>